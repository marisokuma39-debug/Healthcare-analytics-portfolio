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id\Desktop\hospital_data\my portfolio project\"/>
    </mc:Choice>
  </mc:AlternateContent>
  <xr:revisionPtr revIDLastSave="0" documentId="8_{35A6EE6B-6FC8-4979-97A7-FF0F32CACC7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LAIMS RAW DATA" sheetId="1" r:id="rId1"/>
    <sheet name="CLEANED CLAIMS" sheetId="3" r:id="rId2"/>
    <sheet name="BUSINESS QUESTIONS" sheetId="2" r:id="rId3"/>
    <sheet name="pivot table 1" sheetId="5" r:id="rId4"/>
    <sheet name="pivot table 2" sheetId="7" r:id="rId5"/>
    <sheet name="DASHBOARD" sheetId="6" r:id="rId6"/>
  </sheets>
  <definedNames>
    <definedName name="_xlnm._FilterDatabase" localSheetId="1" hidden="1">'CLEANED CLAIMS'!$C$1:$C$301</definedName>
  </definedNames>
  <calcPr calcId="191029" iterateDelta="1E-4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6" l="1"/>
  <c r="F4" i="6"/>
  <c r="F5" i="6"/>
  <c r="F6" i="6"/>
  <c r="F3" i="6"/>
  <c r="C3" i="6"/>
  <c r="C4" i="6"/>
  <c r="C5" i="6"/>
  <c r="C6" i="6"/>
  <c r="D7" i="5"/>
  <c r="D6" i="5"/>
  <c r="D5" i="5"/>
  <c r="D4" i="5"/>
  <c r="AJ8" i="3"/>
  <c r="AJ9" i="3"/>
  <c r="AJ10" i="3"/>
  <c r="AJ11" i="3"/>
  <c r="AJ12" i="3"/>
  <c r="AJ13" i="3"/>
  <c r="AJ7" i="3"/>
  <c r="AG9" i="3"/>
  <c r="AG8" i="3"/>
  <c r="AG10" i="3"/>
  <c r="AG11" i="3"/>
  <c r="AG7" i="3"/>
  <c r="AF12" i="3"/>
  <c r="AF8" i="3"/>
  <c r="AF9" i="3"/>
  <c r="AF10" i="3"/>
  <c r="AF11" i="3"/>
  <c r="AF7" i="3"/>
  <c r="AC8" i="3"/>
  <c r="AC9" i="3"/>
  <c r="AC10" i="3"/>
  <c r="AC7" i="3"/>
  <c r="AA12" i="3"/>
  <c r="AA8" i="3"/>
  <c r="AA9" i="3"/>
  <c r="AA10" i="3"/>
  <c r="AA11" i="3"/>
  <c r="AA7" i="3"/>
  <c r="U8" i="3"/>
  <c r="U9" i="3"/>
  <c r="U10" i="3"/>
  <c r="U7" i="3"/>
  <c r="S11" i="3"/>
  <c r="S8" i="3"/>
  <c r="S9" i="3"/>
  <c r="S10" i="3"/>
  <c r="S7" i="3"/>
  <c r="W7" i="3"/>
  <c r="W12" i="3" s="1"/>
  <c r="W11" i="3"/>
  <c r="W10" i="3"/>
  <c r="W9" i="3"/>
  <c r="W8" i="3"/>
  <c r="T11" i="3"/>
  <c r="T8" i="3"/>
  <c r="T9" i="3"/>
  <c r="T10" i="3"/>
  <c r="T7" i="3"/>
  <c r="P8" i="3"/>
  <c r="P3" i="3"/>
  <c r="P4" i="3"/>
  <c r="P5" i="3"/>
  <c r="P6" i="3"/>
  <c r="P7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2" i="3"/>
</calcChain>
</file>

<file path=xl/sharedStrings.xml><?xml version="1.0" encoding="utf-8"?>
<sst xmlns="http://schemas.openxmlformats.org/spreadsheetml/2006/main" count="5079" uniqueCount="724">
  <si>
    <t>Claim_ID</t>
  </si>
  <si>
    <t>Patient_ID</t>
  </si>
  <si>
    <t>HMO Provider</t>
  </si>
  <si>
    <t>Hospital Branch</t>
  </si>
  <si>
    <t>Service Type</t>
  </si>
  <si>
    <t>Diagnosis Code</t>
  </si>
  <si>
    <t>Claim Date</t>
  </si>
  <si>
    <t>Approval Date</t>
  </si>
  <si>
    <t>Claim Amount</t>
  </si>
  <si>
    <t>Approved Amount</t>
  </si>
  <si>
    <t>Claim Status</t>
  </si>
  <si>
    <t>Rejection Reason</t>
  </si>
  <si>
    <t>Provider_ID</t>
  </si>
  <si>
    <t>Turnaround Days</t>
  </si>
  <si>
    <t>CLM00014</t>
  </si>
  <si>
    <t>P0014</t>
  </si>
  <si>
    <t>Leadway</t>
  </si>
  <si>
    <t>Apapa Branch</t>
  </si>
  <si>
    <t>Laboratory Test</t>
  </si>
  <si>
    <t>R73.0</t>
  </si>
  <si>
    <t>Rejected</t>
  </si>
  <si>
    <t>Service Not Covered</t>
  </si>
  <si>
    <t>PR003</t>
  </si>
  <si>
    <t>CLM00064</t>
  </si>
  <si>
    <t>P0064</t>
  </si>
  <si>
    <t>Hygeia</t>
  </si>
  <si>
    <t>Yaba Branch</t>
  </si>
  <si>
    <t>Maternity</t>
  </si>
  <si>
    <t>O80</t>
  </si>
  <si>
    <t>approved</t>
  </si>
  <si>
    <t>PR011</t>
  </si>
  <si>
    <t>CLM00100</t>
  </si>
  <si>
    <t>P0100</t>
  </si>
  <si>
    <t>Outpatient Consultation</t>
  </si>
  <si>
    <t>E11.9</t>
  </si>
  <si>
    <t>Partially Approved</t>
  </si>
  <si>
    <t>PR004</t>
  </si>
  <si>
    <t>CLM00271</t>
  </si>
  <si>
    <t>P0271</t>
  </si>
  <si>
    <t>AXA Mansard</t>
  </si>
  <si>
    <t>Lekki Branch</t>
  </si>
  <si>
    <t>Surgery</t>
  </si>
  <si>
    <t>K35.8</t>
  </si>
  <si>
    <t>APPROVED</t>
  </si>
  <si>
    <t>PR012</t>
  </si>
  <si>
    <t>CLM00204</t>
  </si>
  <si>
    <t>P0204</t>
  </si>
  <si>
    <t>I10</t>
  </si>
  <si>
    <t>CLM00118</t>
  </si>
  <si>
    <t>P0118</t>
  </si>
  <si>
    <t>Diagnostic Imaging</t>
  </si>
  <si>
    <t>M54.5</t>
  </si>
  <si>
    <t>Policy Expired</t>
  </si>
  <si>
    <t>PR006</t>
  </si>
  <si>
    <t>CLM00107</t>
  </si>
  <si>
    <t>P0107</t>
  </si>
  <si>
    <t>Surulere Branch</t>
  </si>
  <si>
    <t>Inpatient Admission</t>
  </si>
  <si>
    <t>I50.9</t>
  </si>
  <si>
    <t>PR002</t>
  </si>
  <si>
    <t>CLM00239</t>
  </si>
  <si>
    <t>P0239</t>
  </si>
  <si>
    <t>Ikeja Branch</t>
  </si>
  <si>
    <t>PR014</t>
  </si>
  <si>
    <t>CLM00108</t>
  </si>
  <si>
    <t>P0108</t>
  </si>
  <si>
    <t>J44.1</t>
  </si>
  <si>
    <t>Approved</t>
  </si>
  <si>
    <t>CLM00111</t>
  </si>
  <si>
    <t>P0111</t>
  </si>
  <si>
    <t>NHIS</t>
  </si>
  <si>
    <t>Incomplete Documentation</t>
  </si>
  <si>
    <t>CLM00198</t>
  </si>
  <si>
    <t>P0198</t>
  </si>
  <si>
    <t>Pharmacy</t>
  </si>
  <si>
    <t>Pending</t>
  </si>
  <si>
    <t>CLM00116</t>
  </si>
  <si>
    <t>P0116</t>
  </si>
  <si>
    <t>PR007</t>
  </si>
  <si>
    <t>CLM00167</t>
  </si>
  <si>
    <t>P0167</t>
  </si>
  <si>
    <t>R91.8</t>
  </si>
  <si>
    <t>CLM00129</t>
  </si>
  <si>
    <t>P0129</t>
  </si>
  <si>
    <t>CLM00203</t>
  </si>
  <si>
    <t>P0203</t>
  </si>
  <si>
    <t>CLM00110</t>
  </si>
  <si>
    <t>P0110</t>
  </si>
  <si>
    <t>PR013</t>
  </si>
  <si>
    <t>CLM00179</t>
  </si>
  <si>
    <t>P0179</t>
  </si>
  <si>
    <t>CLM00147</t>
  </si>
  <si>
    <t>P0147</t>
  </si>
  <si>
    <t>PR015</t>
  </si>
  <si>
    <t>CLM00175</t>
  </si>
  <si>
    <t>P0175</t>
  </si>
  <si>
    <t>PR001</t>
  </si>
  <si>
    <t>CLM00040</t>
  </si>
  <si>
    <t>P0040</t>
  </si>
  <si>
    <t>CLM00196</t>
  </si>
  <si>
    <t>P0196</t>
  </si>
  <si>
    <t>CLM00159</t>
  </si>
  <si>
    <t>P0159</t>
  </si>
  <si>
    <t>CLM00209</t>
  </si>
  <si>
    <t>P0209</t>
  </si>
  <si>
    <t>Z00.0</t>
  </si>
  <si>
    <t>Duplicate Claim</t>
  </si>
  <si>
    <t>CLM00195</t>
  </si>
  <si>
    <t>P0195</t>
  </si>
  <si>
    <t>CLM00237</t>
  </si>
  <si>
    <t>P0237</t>
  </si>
  <si>
    <t>CLM00136</t>
  </si>
  <si>
    <t>P0136</t>
  </si>
  <si>
    <t>N18.6</t>
  </si>
  <si>
    <t>Pre-authorisation Missing</t>
  </si>
  <si>
    <t>CLM00223</t>
  </si>
  <si>
    <t>P0223</t>
  </si>
  <si>
    <t>PR009</t>
  </si>
  <si>
    <t>CLM00255</t>
  </si>
  <si>
    <t>P0255</t>
  </si>
  <si>
    <t>O82</t>
  </si>
  <si>
    <t>PR008</t>
  </si>
  <si>
    <t>CLM00217</t>
  </si>
  <si>
    <t>P0217</t>
  </si>
  <si>
    <t>CLM00155</t>
  </si>
  <si>
    <t>P0155</t>
  </si>
  <si>
    <t>CLM00050</t>
  </si>
  <si>
    <t>P0050</t>
  </si>
  <si>
    <t>CLM00170</t>
  </si>
  <si>
    <t>P0170</t>
  </si>
  <si>
    <t>CLM00005</t>
  </si>
  <si>
    <t>P0005</t>
  </si>
  <si>
    <t>PR010</t>
  </si>
  <si>
    <t>CLM00173</t>
  </si>
  <si>
    <t>P0173</t>
  </si>
  <si>
    <t>CLM00006</t>
  </si>
  <si>
    <t>P0006</t>
  </si>
  <si>
    <t>CLM00033</t>
  </si>
  <si>
    <t>P0033</t>
  </si>
  <si>
    <t>CLM00241</t>
  </si>
  <si>
    <t>P0241</t>
  </si>
  <si>
    <t>CLM00186</t>
  </si>
  <si>
    <t>P0186</t>
  </si>
  <si>
    <t>S72.0</t>
  </si>
  <si>
    <t>PR005</t>
  </si>
  <si>
    <t>CLM00162</t>
  </si>
  <si>
    <t>P0162</t>
  </si>
  <si>
    <t>CLM00046</t>
  </si>
  <si>
    <t>P0046</t>
  </si>
  <si>
    <t>CLM00247</t>
  </si>
  <si>
    <t>P0247</t>
  </si>
  <si>
    <t>CLM00094</t>
  </si>
  <si>
    <t>P0094</t>
  </si>
  <si>
    <t>CLM00290</t>
  </si>
  <si>
    <t>P0290</t>
  </si>
  <si>
    <t>CLM00032</t>
  </si>
  <si>
    <t>P0032</t>
  </si>
  <si>
    <t>CLM00235</t>
  </si>
  <si>
    <t>P0235</t>
  </si>
  <si>
    <t>CLM00252</t>
  </si>
  <si>
    <t>P0252</t>
  </si>
  <si>
    <t>CLM00034</t>
  </si>
  <si>
    <t>P0034</t>
  </si>
  <si>
    <t>J45.0</t>
  </si>
  <si>
    <t>CLM00133</t>
  </si>
  <si>
    <t>P0133</t>
  </si>
  <si>
    <t>CLM00182</t>
  </si>
  <si>
    <t>P0182</t>
  </si>
  <si>
    <t>CLM00294</t>
  </si>
  <si>
    <t>P0294</t>
  </si>
  <si>
    <t>CLM00060</t>
  </si>
  <si>
    <t>P0060</t>
  </si>
  <si>
    <t>CLM00169</t>
  </si>
  <si>
    <t>P0169</t>
  </si>
  <si>
    <t>CLM00276</t>
  </si>
  <si>
    <t>P0276</t>
  </si>
  <si>
    <t>CLM00132</t>
  </si>
  <si>
    <t>P0132</t>
  </si>
  <si>
    <t>CLM00141</t>
  </si>
  <si>
    <t>P0141</t>
  </si>
  <si>
    <t>CLM00152</t>
  </si>
  <si>
    <t>P0152</t>
  </si>
  <si>
    <t>CLM00219</t>
  </si>
  <si>
    <t>P0219</t>
  </si>
  <si>
    <t>CLM00157</t>
  </si>
  <si>
    <t>P0157</t>
  </si>
  <si>
    <t>CLM00231</t>
  </si>
  <si>
    <t>P0231</t>
  </si>
  <si>
    <t>CLM00017</t>
  </si>
  <si>
    <t>P0017</t>
  </si>
  <si>
    <t>CLM00101</t>
  </si>
  <si>
    <t>P0101</t>
  </si>
  <si>
    <t>CLM00275</t>
  </si>
  <si>
    <t>P0275</t>
  </si>
  <si>
    <t>CLM00150</t>
  </si>
  <si>
    <t>P0150</t>
  </si>
  <si>
    <t>CLM00283</t>
  </si>
  <si>
    <t>P0283</t>
  </si>
  <si>
    <t>CLM00047</t>
  </si>
  <si>
    <t>P0047</t>
  </si>
  <si>
    <t>CLM00088</t>
  </si>
  <si>
    <t>P0088</t>
  </si>
  <si>
    <t>CLM00079</t>
  </si>
  <si>
    <t>P0079</t>
  </si>
  <si>
    <t>CLM00298</t>
  </si>
  <si>
    <t>P0298</t>
  </si>
  <si>
    <t>CLM00153</t>
  </si>
  <si>
    <t>P0153</t>
  </si>
  <si>
    <t>CLM00058</t>
  </si>
  <si>
    <t>P0058</t>
  </si>
  <si>
    <t>CLM00238</t>
  </si>
  <si>
    <t>P0238</t>
  </si>
  <si>
    <t>CLM00025</t>
  </si>
  <si>
    <t>P0025</t>
  </si>
  <si>
    <t>CLM00244</t>
  </si>
  <si>
    <t>P0244</t>
  </si>
  <si>
    <t>CLM00208</t>
  </si>
  <si>
    <t>P0208</t>
  </si>
  <si>
    <t>CLM00253</t>
  </si>
  <si>
    <t>P0253</t>
  </si>
  <si>
    <t>CLM00199</t>
  </si>
  <si>
    <t>P0199</t>
  </si>
  <si>
    <t>CLM00018</t>
  </si>
  <si>
    <t>P0018</t>
  </si>
  <si>
    <t>CLM00260</t>
  </si>
  <si>
    <t>P0260</t>
  </si>
  <si>
    <t>CLM00187</t>
  </si>
  <si>
    <t>P0187</t>
  </si>
  <si>
    <t>CLM00292</t>
  </si>
  <si>
    <t>P0292</t>
  </si>
  <si>
    <t>CLM00194</t>
  </si>
  <si>
    <t>P0194</t>
  </si>
  <si>
    <t>CLM00181</t>
  </si>
  <si>
    <t>P0181</t>
  </si>
  <si>
    <t>CLM00039</t>
  </si>
  <si>
    <t>P0039</t>
  </si>
  <si>
    <t>CLM00089</t>
  </si>
  <si>
    <t>P0089</t>
  </si>
  <si>
    <t>CLM00043</t>
  </si>
  <si>
    <t>P0043</t>
  </si>
  <si>
    <t>CLM00099</t>
  </si>
  <si>
    <t>P0099</t>
  </si>
  <si>
    <t>CLM00172</t>
  </si>
  <si>
    <t>P0172</t>
  </si>
  <si>
    <t>CLM00236</t>
  </si>
  <si>
    <t>P0236</t>
  </si>
  <si>
    <t>CLM00052</t>
  </si>
  <si>
    <t>P0052</t>
  </si>
  <si>
    <t>CLM00020</t>
  </si>
  <si>
    <t>P0020</t>
  </si>
  <si>
    <t>CLM00081</t>
  </si>
  <si>
    <t>P0081</t>
  </si>
  <si>
    <t>CLM00297</t>
  </si>
  <si>
    <t>P0297</t>
  </si>
  <si>
    <t>CLM00055</t>
  </si>
  <si>
    <t>P0055</t>
  </si>
  <si>
    <t>CLM00221</t>
  </si>
  <si>
    <t>P0221</t>
  </si>
  <si>
    <t>CLM00067</t>
  </si>
  <si>
    <t>P0067</t>
  </si>
  <si>
    <t>CLM00216</t>
  </si>
  <si>
    <t>P0216</t>
  </si>
  <si>
    <t>CLM00274</t>
  </si>
  <si>
    <t>P0274</t>
  </si>
  <si>
    <t>CLM00137</t>
  </si>
  <si>
    <t>P0137</t>
  </si>
  <si>
    <t>CLM00259</t>
  </si>
  <si>
    <t>P0259</t>
  </si>
  <si>
    <t>CLM00026</t>
  </si>
  <si>
    <t>P0026</t>
  </si>
  <si>
    <t>CLM00105</t>
  </si>
  <si>
    <t>P0105</t>
  </si>
  <si>
    <t>CLM00045</t>
  </si>
  <si>
    <t>P0045</t>
  </si>
  <si>
    <t>CLM00257</t>
  </si>
  <si>
    <t>P0257</t>
  </si>
  <si>
    <t>CLM00262</t>
  </si>
  <si>
    <t>P0262</t>
  </si>
  <si>
    <t>CLM00139</t>
  </si>
  <si>
    <t>P0139</t>
  </si>
  <si>
    <t>CLM00117</t>
  </si>
  <si>
    <t>P0117</t>
  </si>
  <si>
    <t>CLM00131</t>
  </si>
  <si>
    <t>P0131</t>
  </si>
  <si>
    <t>CLM00189</t>
  </si>
  <si>
    <t>P0189</t>
  </si>
  <si>
    <t>CLM00285</t>
  </si>
  <si>
    <t>P0285</t>
  </si>
  <si>
    <t>CLM00214</t>
  </si>
  <si>
    <t>P0214</t>
  </si>
  <si>
    <t>CLM00224</t>
  </si>
  <si>
    <t>P0224</t>
  </si>
  <si>
    <t>CLM00138</t>
  </si>
  <si>
    <t>P0138</t>
  </si>
  <si>
    <t>CLM00299</t>
  </si>
  <si>
    <t>P0299</t>
  </si>
  <si>
    <t>CLM00086</t>
  </si>
  <si>
    <t>P0086</t>
  </si>
  <si>
    <t>CLM00002</t>
  </si>
  <si>
    <t>P0002</t>
  </si>
  <si>
    <t>CLM00057</t>
  </si>
  <si>
    <t>P0057</t>
  </si>
  <si>
    <t>CLM00130</t>
  </si>
  <si>
    <t>P0130</t>
  </si>
  <si>
    <t>CLM00174</t>
  </si>
  <si>
    <t>P0174</t>
  </si>
  <si>
    <t>CLM00200</t>
  </si>
  <si>
    <t>P0200</t>
  </si>
  <si>
    <t>CLM00054</t>
  </si>
  <si>
    <t>P0054</t>
  </si>
  <si>
    <t>CLM00091</t>
  </si>
  <si>
    <t>P0091</t>
  </si>
  <si>
    <t>CLM00296</t>
  </si>
  <si>
    <t>P0296</t>
  </si>
  <si>
    <t>CLM00183</t>
  </si>
  <si>
    <t>P0183</t>
  </si>
  <si>
    <t>CLM00286</t>
  </si>
  <si>
    <t>P0286</t>
  </si>
  <si>
    <t>CLM00010</t>
  </si>
  <si>
    <t>P0010</t>
  </si>
  <si>
    <t>CLM00148</t>
  </si>
  <si>
    <t>P0148</t>
  </si>
  <si>
    <t>CLM00144</t>
  </si>
  <si>
    <t>P0144</t>
  </si>
  <si>
    <t>CLM00149</t>
  </si>
  <si>
    <t>P0149</t>
  </si>
  <si>
    <t>CLM00009</t>
  </si>
  <si>
    <t>P0009</t>
  </si>
  <si>
    <t>CLM00001</t>
  </si>
  <si>
    <t>P0001</t>
  </si>
  <si>
    <t>CLM00096</t>
  </si>
  <si>
    <t>P0096</t>
  </si>
  <si>
    <t>CLM00151</t>
  </si>
  <si>
    <t>P0151</t>
  </si>
  <si>
    <t>CLM00202</t>
  </si>
  <si>
    <t>P0202</t>
  </si>
  <si>
    <t>CLM00123</t>
  </si>
  <si>
    <t>P0123</t>
  </si>
  <si>
    <t>CLM00113</t>
  </si>
  <si>
    <t>P0113</t>
  </si>
  <si>
    <t>CLM00156</t>
  </si>
  <si>
    <t>P0156</t>
  </si>
  <si>
    <t>CLM00293</t>
  </si>
  <si>
    <t>P0293</t>
  </si>
  <si>
    <t>CLM00103</t>
  </si>
  <si>
    <t>P0103</t>
  </si>
  <si>
    <t>CLM00227</t>
  </si>
  <si>
    <t>P0227</t>
  </si>
  <si>
    <t>CLM00212</t>
  </si>
  <si>
    <t>P0212</t>
  </si>
  <si>
    <t>CLM00229</t>
  </si>
  <si>
    <t>P0229</t>
  </si>
  <si>
    <t>CLM00176</t>
  </si>
  <si>
    <t>P0176</t>
  </si>
  <si>
    <t>CLM00037</t>
  </si>
  <si>
    <t>P0037</t>
  </si>
  <si>
    <t>CLM00185</t>
  </si>
  <si>
    <t>P0185</t>
  </si>
  <si>
    <t>CLM00077</t>
  </si>
  <si>
    <t>P0077</t>
  </si>
  <si>
    <t>CLM00041</t>
  </si>
  <si>
    <t>P0041</t>
  </si>
  <si>
    <t>CLM00284</t>
  </si>
  <si>
    <t>P0284</t>
  </si>
  <si>
    <t>CLM00109</t>
  </si>
  <si>
    <t>P0109</t>
  </si>
  <si>
    <t>CLM00127</t>
  </si>
  <si>
    <t>P0127</t>
  </si>
  <si>
    <t>CLM00056</t>
  </si>
  <si>
    <t>P0056</t>
  </si>
  <si>
    <t>CLM00013</t>
  </si>
  <si>
    <t>P0013</t>
  </si>
  <si>
    <t>CLM00273</t>
  </si>
  <si>
    <t>P0273</t>
  </si>
  <si>
    <t>CLM00225</t>
  </si>
  <si>
    <t>P0225</t>
  </si>
  <si>
    <t>CLM00207</t>
  </si>
  <si>
    <t>P0207</t>
  </si>
  <si>
    <t>CLM00011</t>
  </si>
  <si>
    <t>P0011</t>
  </si>
  <si>
    <t>CLM00015</t>
  </si>
  <si>
    <t>P0015</t>
  </si>
  <si>
    <t>CLM00062</t>
  </si>
  <si>
    <t>P0062</t>
  </si>
  <si>
    <t>CLM00191</t>
  </si>
  <si>
    <t>P0191</t>
  </si>
  <si>
    <t>CLM00163</t>
  </si>
  <si>
    <t>P0163</t>
  </si>
  <si>
    <t>CLM00142</t>
  </si>
  <si>
    <t>P0142</t>
  </si>
  <si>
    <t>CLM00035</t>
  </si>
  <si>
    <t>P0035</t>
  </si>
  <si>
    <t>CLM00289</t>
  </si>
  <si>
    <t>P0289</t>
  </si>
  <si>
    <t>CLM00059</t>
  </si>
  <si>
    <t>P0059</t>
  </si>
  <si>
    <t>CLM00082</t>
  </si>
  <si>
    <t>P0082</t>
  </si>
  <si>
    <t>CLM00254</t>
  </si>
  <si>
    <t>P0254</t>
  </si>
  <si>
    <t>CLM00206</t>
  </si>
  <si>
    <t>P0206</t>
  </si>
  <si>
    <t>CLM00246</t>
  </si>
  <si>
    <t>P0246</t>
  </si>
  <si>
    <t>CLM00098</t>
  </si>
  <si>
    <t>P0098</t>
  </si>
  <si>
    <t>CLM00267</t>
  </si>
  <si>
    <t>P0267</t>
  </si>
  <si>
    <t>CLM00249</t>
  </si>
  <si>
    <t>P0249</t>
  </si>
  <si>
    <t>CLM00120</t>
  </si>
  <si>
    <t>P0120</t>
  </si>
  <si>
    <t>CLM00027</t>
  </si>
  <si>
    <t>P0027</t>
  </si>
  <si>
    <t>CLM00222</t>
  </si>
  <si>
    <t>P0222</t>
  </si>
  <si>
    <t>CLM00135</t>
  </si>
  <si>
    <t>P0135</t>
  </si>
  <si>
    <t>CLM00164</t>
  </si>
  <si>
    <t>P0164</t>
  </si>
  <si>
    <t>CLM00278</t>
  </si>
  <si>
    <t>P0278</t>
  </si>
  <si>
    <t>CLM00095</t>
  </si>
  <si>
    <t>P0095</t>
  </si>
  <si>
    <t>CLM00076</t>
  </si>
  <si>
    <t>P0076</t>
  </si>
  <si>
    <t>CLM00038</t>
  </si>
  <si>
    <t>P0038</t>
  </si>
  <si>
    <t>CLM00102</t>
  </si>
  <si>
    <t>P0102</t>
  </si>
  <si>
    <t>CLM00007</t>
  </si>
  <si>
    <t>P0007</t>
  </si>
  <si>
    <t>CLM00008</t>
  </si>
  <si>
    <t>P0008</t>
  </si>
  <si>
    <t>CLM00036</t>
  </si>
  <si>
    <t>P0036</t>
  </si>
  <si>
    <t>CLM00021</t>
  </si>
  <si>
    <t>P0021</t>
  </si>
  <si>
    <t>CLM00063</t>
  </si>
  <si>
    <t>P0063</t>
  </si>
  <si>
    <t>CLM00210</t>
  </si>
  <si>
    <t>P0210</t>
  </si>
  <si>
    <t>CLM00065</t>
  </si>
  <si>
    <t>P0065</t>
  </si>
  <si>
    <t>CLM00233</t>
  </si>
  <si>
    <t>P0233</t>
  </si>
  <si>
    <t>CLM00168</t>
  </si>
  <si>
    <t>P0168</t>
  </si>
  <si>
    <t>CLM00188</t>
  </si>
  <si>
    <t>P0188</t>
  </si>
  <si>
    <t>CLM00158</t>
  </si>
  <si>
    <t>P0158</t>
  </si>
  <si>
    <t>CLM00161</t>
  </si>
  <si>
    <t>P0161</t>
  </si>
  <si>
    <t>CLM00074</t>
  </si>
  <si>
    <t>P0074</t>
  </si>
  <si>
    <t>CLM00165</t>
  </si>
  <si>
    <t>P0165</t>
  </si>
  <si>
    <t>CLM00024</t>
  </si>
  <si>
    <t>P0024</t>
  </si>
  <si>
    <t>CLM00092</t>
  </si>
  <si>
    <t>P0092</t>
  </si>
  <si>
    <t>CLM00250</t>
  </si>
  <si>
    <t>P0250</t>
  </si>
  <si>
    <t>CLM00083</t>
  </si>
  <si>
    <t>P0083</t>
  </si>
  <si>
    <t>CLM00140</t>
  </si>
  <si>
    <t>P0140</t>
  </si>
  <si>
    <t>CLM00201</t>
  </si>
  <si>
    <t>P0201</t>
  </si>
  <si>
    <t>CLM00049</t>
  </si>
  <si>
    <t>P0049</t>
  </si>
  <si>
    <t>CLM00205</t>
  </si>
  <si>
    <t>P0205</t>
  </si>
  <si>
    <t>CLM00112</t>
  </si>
  <si>
    <t>P0112</t>
  </si>
  <si>
    <t>CLM00126</t>
  </si>
  <si>
    <t>P0126</t>
  </si>
  <si>
    <t>CLM00166</t>
  </si>
  <si>
    <t>P0166</t>
  </si>
  <si>
    <t>CLM00300</t>
  </si>
  <si>
    <t>P0300</t>
  </si>
  <si>
    <t>CLM00068</t>
  </si>
  <si>
    <t>P0068</t>
  </si>
  <si>
    <t>CLM00145</t>
  </si>
  <si>
    <t>P0145</t>
  </si>
  <si>
    <t>CLM00190</t>
  </si>
  <si>
    <t>P0190</t>
  </si>
  <si>
    <t>CLM00085</t>
  </si>
  <si>
    <t>P0085</t>
  </si>
  <si>
    <t>CLM00281</t>
  </si>
  <si>
    <t>P0281</t>
  </si>
  <si>
    <t>CLM00192</t>
  </si>
  <si>
    <t>P0192</t>
  </si>
  <si>
    <t>CLM00022</t>
  </si>
  <si>
    <t>P0022</t>
  </si>
  <si>
    <t>CLM00242</t>
  </si>
  <si>
    <t>P0242</t>
  </si>
  <si>
    <t>CLM00193</t>
  </si>
  <si>
    <t>P0193</t>
  </si>
  <si>
    <t>CLM00226</t>
  </si>
  <si>
    <t>P0226</t>
  </si>
  <si>
    <t>CLM00003</t>
  </si>
  <si>
    <t>P0003</t>
  </si>
  <si>
    <t>CLM00240</t>
  </si>
  <si>
    <t>P0240</t>
  </si>
  <si>
    <t>CLM00019</t>
  </si>
  <si>
    <t>P0019</t>
  </si>
  <si>
    <t>CLM00143</t>
  </si>
  <si>
    <t>P0143</t>
  </si>
  <si>
    <t>CLM00044</t>
  </si>
  <si>
    <t>P0044</t>
  </si>
  <si>
    <t>CLM00245</t>
  </si>
  <si>
    <t>P0245</t>
  </si>
  <si>
    <t>CLM00243</t>
  </si>
  <si>
    <t>P0243</t>
  </si>
  <si>
    <t>CLM00146</t>
  </si>
  <si>
    <t>P0146</t>
  </si>
  <si>
    <t>CLM00114</t>
  </si>
  <si>
    <t>P0114</t>
  </si>
  <si>
    <t>CLM00288</t>
  </si>
  <si>
    <t>P0288</t>
  </si>
  <si>
    <t>CLM00042</t>
  </si>
  <si>
    <t>P0042</t>
  </si>
  <si>
    <t>CLM00234</t>
  </si>
  <si>
    <t>P0234</t>
  </si>
  <si>
    <t>CLM00115</t>
  </si>
  <si>
    <t>P0115</t>
  </si>
  <si>
    <t>CLM00256</t>
  </si>
  <si>
    <t>P0256</t>
  </si>
  <si>
    <t>CLM00265</t>
  </si>
  <si>
    <t>P0265</t>
  </si>
  <si>
    <t>CLM00029</t>
  </si>
  <si>
    <t>P0029</t>
  </si>
  <si>
    <t>CLM00051</t>
  </si>
  <si>
    <t>P0051</t>
  </si>
  <si>
    <t>CLM00078</t>
  </si>
  <si>
    <t>P0078</t>
  </si>
  <si>
    <t>CLM00072</t>
  </si>
  <si>
    <t>P0072</t>
  </si>
  <si>
    <t>CLM00230</t>
  </si>
  <si>
    <t>P0230</t>
  </si>
  <si>
    <t>CLM00016</t>
  </si>
  <si>
    <t>P0016</t>
  </si>
  <si>
    <t>CLM00012</t>
  </si>
  <si>
    <t>P0012</t>
  </si>
  <si>
    <t>CLM00272</t>
  </si>
  <si>
    <t>P0272</t>
  </si>
  <si>
    <t>CLM00125</t>
  </si>
  <si>
    <t>P0125</t>
  </si>
  <si>
    <t>CLM00093</t>
  </si>
  <si>
    <t>P0093</t>
  </si>
  <si>
    <t>CLM00269</t>
  </si>
  <si>
    <t>P0269</t>
  </si>
  <si>
    <t>CLM00075</t>
  </si>
  <si>
    <t>P0075</t>
  </si>
  <si>
    <t>CLM00177</t>
  </si>
  <si>
    <t>P0177</t>
  </si>
  <si>
    <t>CLM00030</t>
  </si>
  <si>
    <t>P0030</t>
  </si>
  <si>
    <t>CLM00053</t>
  </si>
  <si>
    <t>P0053</t>
  </si>
  <si>
    <t>CLM00213</t>
  </si>
  <si>
    <t>P0213</t>
  </si>
  <si>
    <t>CLM00277</t>
  </si>
  <si>
    <t>P0277</t>
  </si>
  <si>
    <t>CLM00197</t>
  </si>
  <si>
    <t>P0197</t>
  </si>
  <si>
    <t>CLM00215</t>
  </si>
  <si>
    <t>P0215</t>
  </si>
  <si>
    <t>CLM00119</t>
  </si>
  <si>
    <t>P0119</t>
  </si>
  <si>
    <t>CLM00295</t>
  </si>
  <si>
    <t>P0295</t>
  </si>
  <si>
    <t>CLM00268</t>
  </si>
  <si>
    <t>P0268</t>
  </si>
  <si>
    <t>CLM00080</t>
  </si>
  <si>
    <t>P0080</t>
  </si>
  <si>
    <t>CLM00282</t>
  </si>
  <si>
    <t>P0282</t>
  </si>
  <si>
    <t>CLM00218</t>
  </si>
  <si>
    <t>P0218</t>
  </si>
  <si>
    <t>CLM00061</t>
  </si>
  <si>
    <t>P0061</t>
  </si>
  <si>
    <t>CLM00171</t>
  </si>
  <si>
    <t>P0171</t>
  </si>
  <si>
    <t>CLM00270</t>
  </si>
  <si>
    <t>P0270</t>
  </si>
  <si>
    <t>CLM00073</t>
  </si>
  <si>
    <t>P0073</t>
  </si>
  <si>
    <t>CLM00266</t>
  </si>
  <si>
    <t>P0266</t>
  </si>
  <si>
    <t>CLM00154</t>
  </si>
  <si>
    <t>P0154</t>
  </si>
  <si>
    <t>CLM00180</t>
  </si>
  <si>
    <t>P0180</t>
  </si>
  <si>
    <t>CLM00069</t>
  </si>
  <si>
    <t>P0069</t>
  </si>
  <si>
    <t>CLM00228</t>
  </si>
  <si>
    <t>P0228</t>
  </si>
  <si>
    <t>CLM00264</t>
  </si>
  <si>
    <t>P0264</t>
  </si>
  <si>
    <t>CLM00004</t>
  </si>
  <si>
    <t>P0004</t>
  </si>
  <si>
    <t>CLM00124</t>
  </si>
  <si>
    <t>P0124</t>
  </si>
  <si>
    <t>CLM00122</t>
  </si>
  <si>
    <t>P0122</t>
  </si>
  <si>
    <t>CLM00248</t>
  </si>
  <si>
    <t>P0248</t>
  </si>
  <si>
    <t>CLM00070</t>
  </si>
  <si>
    <t>P0070</t>
  </si>
  <si>
    <t>CLM00071</t>
  </si>
  <si>
    <t>P0071</t>
  </si>
  <si>
    <t>CLM00160</t>
  </si>
  <si>
    <t>P0160</t>
  </si>
  <si>
    <t>CLM00104</t>
  </si>
  <si>
    <t>P0104</t>
  </si>
  <si>
    <t>CLM00048</t>
  </si>
  <si>
    <t>P0048</t>
  </si>
  <si>
    <t>CLM00211</t>
  </si>
  <si>
    <t>P0211</t>
  </si>
  <si>
    <t>CLM00178</t>
  </si>
  <si>
    <t>P0178</t>
  </si>
  <si>
    <t>CLM00184</t>
  </si>
  <si>
    <t>P0184</t>
  </si>
  <si>
    <t>CLM00087</t>
  </si>
  <si>
    <t>P0087</t>
  </si>
  <si>
    <t>CLM00031</t>
  </si>
  <si>
    <t>P0031</t>
  </si>
  <si>
    <t>CLM00128</t>
  </si>
  <si>
    <t>P0128</t>
  </si>
  <si>
    <t>CLM00291</t>
  </si>
  <si>
    <t>P0291</t>
  </si>
  <si>
    <t>CLM00279</t>
  </si>
  <si>
    <t>P0279</t>
  </si>
  <si>
    <t>CLM00121</t>
  </si>
  <si>
    <t>P0121</t>
  </si>
  <si>
    <t>CLM00084</t>
  </si>
  <si>
    <t>P0084</t>
  </si>
  <si>
    <t>CLM00280</t>
  </si>
  <si>
    <t>P0280</t>
  </si>
  <si>
    <t>CLM00090</t>
  </si>
  <si>
    <t>P0090</t>
  </si>
  <si>
    <t>CLM00134</t>
  </si>
  <si>
    <t>P0134</t>
  </si>
  <si>
    <t>CLM00287</t>
  </si>
  <si>
    <t>P0287</t>
  </si>
  <si>
    <t>CLM00023</t>
  </si>
  <si>
    <t>P0023</t>
  </si>
  <si>
    <t>CLM00097</t>
  </si>
  <si>
    <t>P0097</t>
  </si>
  <si>
    <t>CLM00251</t>
  </si>
  <si>
    <t>P0251</t>
  </si>
  <si>
    <t>CLM00066</t>
  </si>
  <si>
    <t>P0066</t>
  </si>
  <si>
    <t>CLM00263</t>
  </si>
  <si>
    <t>P0263</t>
  </si>
  <si>
    <t>CLM00220</t>
  </si>
  <si>
    <t>P0220</t>
  </si>
  <si>
    <t>CLM00106</t>
  </si>
  <si>
    <t>P0106</t>
  </si>
  <si>
    <t>CLM00028</t>
  </si>
  <si>
    <t>P0028</t>
  </si>
  <si>
    <t>CLM00261</t>
  </si>
  <si>
    <t>P0261</t>
  </si>
  <si>
    <t>CLM00232</t>
  </si>
  <si>
    <t>P0232</t>
  </si>
  <si>
    <t>CLM00258</t>
  </si>
  <si>
    <t>P0258</t>
  </si>
  <si>
    <t>NOTE: This dataset contains duplicates, mixed-case status values, missing claim amounts, and missing approval/turnaround data — clean before analysing.</t>
  </si>
  <si>
    <t>PROJECT 1 — Health Insurance Claims Analysis</t>
  </si>
  <si>
    <t>No step-by-step instructions this time. Clean the data, then answer every question below independently.</t>
  </si>
  <si>
    <t>DATA CLEANING</t>
  </si>
  <si>
    <t>1. Identify and remove duplicate claims using Claim_ID.</t>
  </si>
  <si>
    <t>2. Standardise Claim Status to exactly 4 categories: Approved, Rejected, Pending, Partially Approved.</t>
  </si>
  <si>
    <t>3. Calculate Turnaround Days = Approval Date − Claim Date (leave blank where Approval Date is missing).</t>
  </si>
  <si>
    <t>4. Flag claims with missing Claim Amount instead of deleting them.</t>
  </si>
  <si>
    <t>ANALYSIS QUESTIONS</t>
  </si>
  <si>
    <t>5. What is the overall claim approval rate (Approved + Partially Approved ÷ Total)?</t>
  </si>
  <si>
    <t>6. Which HMO provider has the highest rejection rate?</t>
  </si>
  <si>
    <t>7. What is the most common rejection reason overall, and per HMO?</t>
  </si>
  <si>
    <t>8. What is the average turnaround time (claim to approval) by HMO provider?</t>
  </si>
  <si>
    <t>9. Which hospital branch submits the highest total claim value?</t>
  </si>
  <si>
    <t>10. Which service type has the highest average claim amount?</t>
  </si>
  <si>
    <t>11. What percentage of total claims are still Pending, and what financial exposure (total claim value) do they represent?</t>
  </si>
  <si>
    <t>12. Build a pivot table comparing Approved Amount vs Claim Amount by HMO — what is the average approval percentage per HMO?</t>
  </si>
  <si>
    <t>VISUALISATION</t>
  </si>
  <si>
    <t>13. Bar chart — Approval rate by HMO provider.</t>
  </si>
  <si>
    <t>14. Pie chart — Claims by rejection reason.</t>
  </si>
  <si>
    <t>15. Line chart — Monthly claim volume trend across 2024.</t>
  </si>
  <si>
    <t>16. Conditional formatting — highlight turnaround days above 20 (slow claims) in red.</t>
  </si>
  <si>
    <t>DELIVERABLE</t>
  </si>
  <si>
    <t>Write a 4–6 sentence data story: Context + Finding + So What + Recommendation.</t>
  </si>
  <si>
    <t>Package this project for GitHub using the structure: README.md + raw_data.xlsx + cleaned_data.xlsx + dashboard screenshot.</t>
  </si>
  <si>
    <t>Claim Amount Flag</t>
  </si>
  <si>
    <t>Rejected Count</t>
  </si>
  <si>
    <t>Total Claims</t>
  </si>
  <si>
    <t>Rejection Rate</t>
  </si>
  <si>
    <t>count</t>
  </si>
  <si>
    <t>Avg turnaround days</t>
  </si>
  <si>
    <t>hospital branch</t>
  </si>
  <si>
    <t>total Claim Value</t>
  </si>
  <si>
    <t>service type</t>
  </si>
  <si>
    <t>avg claim amount</t>
  </si>
  <si>
    <t>Row Labels</t>
  </si>
  <si>
    <t>Grand Total</t>
  </si>
  <si>
    <t>Sum of Claim Amount</t>
  </si>
  <si>
    <t>Sum of Approved Amount</t>
  </si>
  <si>
    <t>Approval Rate %</t>
  </si>
  <si>
    <t>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</si>
  <si>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</si>
  <si>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</si>
  <si>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</si>
  <si>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</si>
  <si>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</si>
  <si>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</si>
  <si>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</si>
  <si>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</si>
  <si>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</si>
  <si>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</si>
  <si>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</si>
  <si>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</si>
  <si>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Claim_ID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</si>
</sst>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color rgb="FFFF0000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DEEAF1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5" fillId="4" borderId="0" xfId="0" applyFont="1" applyFill="1"/>
    <xf numFmtId="0" fontId="6" fillId="0" borderId="0" xfId="0" applyFont="1" applyAlignment="1">
      <alignment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7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C0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Claim Approval Rate by HMO Provider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DASHBOARD!$C$2</c:f>
              <c:strCache>
                <c:ptCount val="1"/>
                <c:pt idx="0">
                  <c:v>Approval Rate %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DASHBOARD!$B$3:$B$6</c:f>
              <c:strCache>
                <c:ptCount val="4"/>
                <c:pt idx="0">
                  <c:v>NHIS</c:v>
                </c:pt>
                <c:pt idx="1">
                  <c:v>AXA Mansard</c:v>
                </c:pt>
                <c:pt idx="2">
                  <c:v>Hygeia</c:v>
                </c:pt>
                <c:pt idx="3">
                  <c:v>Leadway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71.428571428571431</c:v>
                </c:pt>
                <c:pt idx="1">
                  <c:v>74.545454545454547</c:v>
                </c:pt>
                <c:pt idx="2">
                  <c:v>68.041237113402062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D-4C06-983A-D7E069825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40070816"/>
        <c:axId val="740071296"/>
      </c:barChart>
      <c:catAx>
        <c:axId val="74007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71296"/>
        <c:crosses val="autoZero"/>
        <c:auto val="1"/>
        <c:lblAlgn val="ctr"/>
        <c:lblOffset val="100"/>
        <c:noMultiLvlLbl val="0"/>
      </c:catAx>
      <c:valAx>
        <c:axId val="74007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0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Claims by Rejection Reason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9-4851-BCD2-A36D022711B6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9-4851-BCD2-A36D022711B6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9-4851-BCD2-A36D022711B6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9-4851-BCD2-A36D022711B6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9-4851-BCD2-A36D022711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DASHBOARD!$E$3:$E$7</c:f>
              <c:strCache>
                <c:ptCount val="5"/>
                <c:pt idx="0">
                  <c:v>Duplicate Claim</c:v>
                </c:pt>
                <c:pt idx="1">
                  <c:v>Incomplete Documentation</c:v>
                </c:pt>
                <c:pt idx="2">
                  <c:v>Service Not Covered</c:v>
                </c:pt>
                <c:pt idx="3">
                  <c:v>Pre-authorisation Missing</c:v>
                </c:pt>
                <c:pt idx="4">
                  <c:v>Policy Expired</c:v>
                </c:pt>
              </c:strCache>
            </c:strRef>
          </c:cat>
          <c:val>
            <c:numRef>
              <c:f>DASHBOARD!$F$3:$F$7</c:f>
              <c:numCache>
                <c:formatCode>General</c:formatCode>
                <c:ptCount val="5"/>
                <c:pt idx="0">
                  <c:v>5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76B-950B-5DFBF1315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Claim Volume Trend - 2024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DASHBOARD!$I$2</c:f>
              <c:strCache>
                <c:ptCount val="1"/>
                <c:pt idx="0">
                  <c:v>Count of Claim_ID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DASHBOARD!$H$3:$H$14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DASHBOARD!$I$3:$I$14</c:f>
              <c:numCache>
                <c:formatCode>General</c:formatCode>
                <c:ptCount val="12"/>
                <c:pt idx="0">
                  <c:v>28</c:v>
                </c:pt>
                <c:pt idx="1">
                  <c:v>24</c:v>
                </c:pt>
                <c:pt idx="2">
                  <c:v>22</c:v>
                </c:pt>
                <c:pt idx="3">
                  <c:v>15</c:v>
                </c:pt>
                <c:pt idx="4">
                  <c:v>28</c:v>
                </c:pt>
                <c:pt idx="5">
                  <c:v>29</c:v>
                </c:pt>
                <c:pt idx="6">
                  <c:v>36</c:v>
                </c:pt>
                <c:pt idx="7">
                  <c:v>23</c:v>
                </c:pt>
                <c:pt idx="8">
                  <c:v>26</c:v>
                </c:pt>
                <c:pt idx="9">
                  <c:v>20</c:v>
                </c:pt>
                <c:pt idx="10">
                  <c:v>25</c:v>
                </c:pt>
                <c:pt idx="1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C-4922-8206-FB4DDEB9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71809008"/>
        <c:axId val="471819088"/>
      </c:lineChart>
      <c:catAx>
        <c:axId val="47180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19088"/>
        <c:crosses val="autoZero"/>
        <c:auto val="1"/>
        <c:lblAlgn val="ctr"/>
        <c:lblOffset val="100"/>
        <c:noMultiLvlLbl val="0"/>
      </c:catAx>
      <c:valAx>
        <c:axId val="47181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80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185420</xdr:colOff>
      <xdr:row>16</xdr:row>
      <xdr:rowOff>93980</xdr:rowOff>
    </xdr:from>
    <xdr:to>
      <xdr:col>5</xdr:col>
      <xdr:colOff>495300</xdr:colOff>
      <xdr:row>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3B0BA-512F-7F94-4CBF-F07153C5C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16</xdr:row>
      <xdr:rowOff>50800</xdr:rowOff>
    </xdr:from>
    <xdr:to>
      <xdr:col>14</xdr:col>
      <xdr:colOff>55880</xdr:colOff>
      <xdr:row>31</xdr:row>
      <xdr:rowOff>135890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1E17BB-3A3A-1F29-3B06-EA834684E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533400</xdr:colOff>
      <xdr:row>16</xdr:row>
      <xdr:rowOff>25400</xdr:rowOff>
    </xdr:from>
    <xdr:to>
      <xdr:col>22</xdr:col>
      <xdr:colOff>533400</xdr:colOff>
      <xdr:row>32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733F94-D94C-87B2-4670-510A77F53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" refreshedDate="46199.496268287039" createdVersion="8" refreshedVersion="8" minRefreshableVersion="3" recordCount="300" xr:uid="{A2880544-C1E8-4ED0-9366-F82730D7D367}">
  <cacheSource type="worksheet">
    <worksheetSource ref="A1:P301" sheet="CLEANED CLAIMS"/>
  </cacheSource>
  <cacheFields count="18">
    <cacheField name="Claim_ID" numFmtId="0">
      <sharedItems/>
    </cacheField>
    <cacheField name="Patient_ID" numFmtId="0">
      <sharedItems/>
    </cacheField>
    <cacheField name="HMO Provider" numFmtId="0">
      <sharedItems count="4">
        <s v="Leadway"/>
        <s v="Hygeia"/>
        <s v="AXA Mansard"/>
        <s v="NHIS"/>
      </sharedItems>
    </cacheField>
    <cacheField name="Hospital Branch" numFmtId="0">
      <sharedItems/>
    </cacheField>
    <cacheField name="Service Type" numFmtId="0">
      <sharedItems/>
    </cacheField>
    <cacheField name="Diagnosis Code" numFmtId="0">
      <sharedItems/>
    </cacheField>
    <cacheField name="Claim Date" numFmtId="164">
      <sharedItems containsSemiMixedTypes="0" containsNonDate="0" containsDate="1" containsString="0" minDate="2024-01-01T00:00:00" maxDate="2024-12-30T00:00:00" count="204">
        <d v="2024-07-02T00:00:00"/>
        <d v="2024-01-07T00:00:00"/>
        <d v="2024-10-31T00:00:00"/>
        <d v="2024-07-24T00:00:00"/>
        <d v="2024-12-21T00:00:00"/>
        <d v="2024-02-15T00:00:00"/>
        <d v="2024-05-05T00:00:00"/>
        <d v="2024-09-01T00:00:00"/>
        <d v="2024-09-26T00:00:00"/>
        <d v="2024-11-01T00:00:00"/>
        <d v="2024-08-03T00:00:00"/>
        <d v="2024-11-25T00:00:00"/>
        <d v="2024-05-23T00:00:00"/>
        <d v="2024-12-17T00:00:00"/>
        <d v="2024-04-21T00:00:00"/>
        <d v="2024-07-09T00:00:00"/>
        <d v="2024-06-30T00:00:00"/>
        <d v="2024-06-16T00:00:00"/>
        <d v="2024-11-10T00:00:00"/>
        <d v="2024-07-22T00:00:00"/>
        <d v="2024-09-13T00:00:00"/>
        <d v="2024-02-11T00:00:00"/>
        <d v="2024-03-18T00:00:00"/>
        <d v="2024-10-06T00:00:00"/>
        <d v="2024-11-09T00:00:00"/>
        <d v="2024-11-11T00:00:00"/>
        <d v="2024-06-29T00:00:00"/>
        <d v="2024-05-20T00:00:00"/>
        <d v="2024-11-12T00:00:00"/>
        <d v="2024-12-18T00:00:00"/>
        <d v="2024-06-09T00:00:00"/>
        <d v="2024-10-19T00:00:00"/>
        <d v="2024-09-22T00:00:00"/>
        <d v="2024-12-14T00:00:00"/>
        <d v="2024-09-28T00:00:00"/>
        <d v="2024-09-24T00:00:00"/>
        <d v="2024-08-20T00:00:00"/>
        <d v="2024-03-25T00:00:00"/>
        <d v="2024-11-30T00:00:00"/>
        <d v="2024-11-07T00:00:00"/>
        <d v="2024-06-15T00:00:00"/>
        <d v="2024-05-21T00:00:00"/>
        <d v="2024-12-13T00:00:00"/>
        <d v="2024-03-29T00:00:00"/>
        <d v="2024-05-09T00:00:00"/>
        <d v="2024-01-16T00:00:00"/>
        <d v="2024-08-19T00:00:00"/>
        <d v="2024-04-27T00:00:00"/>
        <d v="2024-10-27T00:00:00"/>
        <d v="2024-07-11T00:00:00"/>
        <d v="2024-09-29T00:00:00"/>
        <d v="2024-02-24T00:00:00"/>
        <d v="2024-10-30T00:00:00"/>
        <d v="2024-04-13T00:00:00"/>
        <d v="2024-08-21T00:00:00"/>
        <d v="2024-07-23T00:00:00"/>
        <d v="2024-07-16T00:00:00"/>
        <d v="2024-01-06T00:00:00"/>
        <d v="2024-06-25T00:00:00"/>
        <d v="2024-07-30T00:00:00"/>
        <d v="2024-05-14T00:00:00"/>
        <d v="2024-04-09T00:00:00"/>
        <d v="2024-07-15T00:00:00"/>
        <d v="2024-01-01T00:00:00"/>
        <d v="2024-12-24T00:00:00"/>
        <d v="2024-01-29T00:00:00"/>
        <d v="2024-01-15T00:00:00"/>
        <d v="2024-05-01T00:00:00"/>
        <d v="2024-06-03T00:00:00"/>
        <d v="2024-06-23T00:00:00"/>
        <d v="2024-08-30T00:00:00"/>
        <d v="2024-06-13T00:00:00"/>
        <d v="2024-06-18T00:00:00"/>
        <d v="2024-08-07T00:00:00"/>
        <d v="2024-03-20T00:00:00"/>
        <d v="2024-09-09T00:00:00"/>
        <d v="2024-05-19T00:00:00"/>
        <d v="2024-06-20T00:00:00"/>
        <d v="2024-07-18T00:00:00"/>
        <d v="2024-02-10T00:00:00"/>
        <d v="2024-02-13T00:00:00"/>
        <d v="2024-09-06T00:00:00"/>
        <d v="2024-08-09T00:00:00"/>
        <d v="2024-11-18T00:00:00"/>
        <d v="2024-05-07T00:00:00"/>
        <d v="2024-03-02T00:00:00"/>
        <d v="2024-02-16T00:00:00"/>
        <d v="2024-07-25T00:00:00"/>
        <d v="2024-01-12T00:00:00"/>
        <d v="2024-03-22T00:00:00"/>
        <d v="2024-07-05T00:00:00"/>
        <d v="2024-12-29T00:00:00"/>
        <d v="2024-05-17T00:00:00"/>
        <d v="2024-02-02T00:00:00"/>
        <d v="2024-07-26T00:00:00"/>
        <d v="2024-08-26T00:00:00"/>
        <d v="2024-11-29T00:00:00"/>
        <d v="2024-10-01T00:00:00"/>
        <d v="2024-03-15T00:00:00"/>
        <d v="2024-10-28T00:00:00"/>
        <d v="2024-02-26T00:00:00"/>
        <d v="2024-05-13T00:00:00"/>
        <d v="2024-08-10T00:00:00"/>
        <d v="2024-09-10T00:00:00"/>
        <d v="2024-03-01T00:00:00"/>
        <d v="2024-01-18T00:00:00"/>
        <d v="2024-05-31T00:00:00"/>
        <d v="2024-07-19T00:00:00"/>
        <d v="2024-01-21T00:00:00"/>
        <d v="2024-02-07T00:00:00"/>
        <d v="2024-07-13T00:00:00"/>
        <d v="2024-01-24T00:00:00"/>
        <d v="2024-08-29T00:00:00"/>
        <d v="2024-06-08T00:00:00"/>
        <d v="2024-10-02T00:00:00"/>
        <d v="2024-03-12T00:00:00"/>
        <d v="2024-06-26T00:00:00"/>
        <d v="2024-01-30T00:00:00"/>
        <d v="2024-11-17T00:00:00"/>
        <d v="2024-09-16T00:00:00"/>
        <d v="2024-10-08T00:00:00"/>
        <d v="2024-04-10T00:00:00"/>
        <d v="2024-08-17T00:00:00"/>
        <d v="2024-02-12T00:00:00"/>
        <d v="2024-09-11T00:00:00"/>
        <d v="2024-11-19T00:00:00"/>
        <d v="2024-08-28T00:00:00"/>
        <d v="2024-12-25T00:00:00"/>
        <d v="2024-04-30T00:00:00"/>
        <d v="2024-07-31T00:00:00"/>
        <d v="2024-10-23T00:00:00"/>
        <d v="2024-03-13T00:00:00"/>
        <d v="2024-12-11T00:00:00"/>
        <d v="2024-03-03T00:00:00"/>
        <d v="2024-06-14T00:00:00"/>
        <d v="2024-09-02T00:00:00"/>
        <d v="2024-06-07T00:00:00"/>
        <d v="2024-12-26T00:00:00"/>
        <d v="2024-02-08T00:00:00"/>
        <d v="2024-02-25T00:00:00"/>
        <d v="2024-06-04T00:00:00"/>
        <d v="2024-12-23T00:00:00"/>
        <d v="2024-05-27T00:00:00"/>
        <d v="2024-11-04T00:00:00"/>
        <d v="2024-08-25T00:00:00"/>
        <d v="2024-10-03T00:00:00"/>
        <d v="2024-09-20T00:00:00"/>
        <d v="2024-03-23T00:00:00"/>
        <d v="2024-05-02T00:00:00"/>
        <d v="2024-12-05T00:00:00"/>
        <d v="2024-08-31T00:00:00"/>
        <d v="2024-01-27T00:00:00"/>
        <d v="2024-11-02T00:00:00"/>
        <d v="2024-03-06T00:00:00"/>
        <d v="2024-03-16T00:00:00"/>
        <d v="2024-05-08T00:00:00"/>
        <d v="2024-11-13T00:00:00"/>
        <d v="2024-05-25T00:00:00"/>
        <d v="2024-10-05T00:00:00"/>
        <d v="2024-05-29T00:00:00"/>
        <d v="2024-08-27T00:00:00"/>
        <d v="2024-04-16T00:00:00"/>
        <d v="2024-02-18T00:00:00"/>
        <d v="2024-11-24T00:00:00"/>
        <d v="2024-04-20T00:00:00"/>
        <d v="2024-09-18T00:00:00"/>
        <d v="2024-12-07T00:00:00"/>
        <d v="2024-01-28T00:00:00"/>
        <d v="2024-06-24T00:00:00"/>
        <d v="2024-12-04T00:00:00"/>
        <d v="2024-12-19T00:00:00"/>
        <d v="2024-07-06T00:00:00"/>
        <d v="2024-01-31T00:00:00"/>
        <d v="2024-12-02T00:00:00"/>
        <d v="2024-12-12T00:00:00"/>
        <d v="2024-10-21T00:00:00"/>
        <d v="2024-04-18T00:00:00"/>
        <d v="2024-02-04T00:00:00"/>
        <d v="2024-10-16T00:00:00"/>
        <d v="2024-03-05T00:00:00"/>
        <d v="2024-09-14T00:00:00"/>
        <d v="2024-09-04T00:00:00"/>
        <d v="2024-02-20T00:00:00"/>
        <d v="2024-06-02T00:00:00"/>
        <d v="2024-06-28T00:00:00"/>
        <d v="2024-09-03T00:00:00"/>
        <d v="2024-11-14T00:00:00"/>
        <d v="2024-05-28T00:00:00"/>
        <d v="2024-08-05T00:00:00"/>
        <d v="2024-08-04T00:00:00"/>
        <d v="2024-05-18T00:00:00"/>
        <d v="2024-04-05T00:00:00"/>
        <d v="2024-01-14T00:00:00"/>
        <d v="2024-03-14T00:00:00"/>
        <d v="2024-04-08T00:00:00"/>
        <d v="2024-09-15T00:00:00"/>
        <d v="2024-07-03T00:00:00"/>
        <d v="2024-07-01T00:00:00"/>
        <d v="2024-04-25T00:00:00"/>
        <d v="2024-02-09T00:00:00"/>
        <d v="2024-01-03T00:00:00"/>
        <d v="2024-05-30T00:00:00"/>
        <d v="2024-12-08T00:00:00"/>
        <d v="2024-05-26T00:00:00"/>
      </sharedItems>
      <fieldGroup par="17"/>
    </cacheField>
    <cacheField name="Approval Date" numFmtId="164">
      <sharedItems containsNonDate="0" containsDate="1" containsString="0" containsBlank="1" minDate="2024-01-03T00:00:00" maxDate="2025-01-14T00:00:00"/>
    </cacheField>
    <cacheField name="Claim Amount" numFmtId="0">
      <sharedItems containsString="0" containsBlank="1" containsNumber="1" containsInteger="1" minValue="9207" maxValue="949796"/>
    </cacheField>
    <cacheField name="Approved Amount" numFmtId="0">
      <sharedItems containsString="0" containsBlank="1" containsNumber="1" containsInteger="1" minValue="0" maxValue="949796"/>
    </cacheField>
    <cacheField name="Claim Status" numFmtId="0">
      <sharedItems/>
    </cacheField>
    <cacheField name="Rejection Reason" numFmtId="0">
      <sharedItems containsBlank="1"/>
    </cacheField>
    <cacheField name="Provider_ID" numFmtId="0">
      <sharedItems/>
    </cacheField>
    <cacheField name="Turnaround Days" numFmtId="0">
      <sharedItems containsMixedTypes="1" containsNumber="1" containsInteger="1" minValue="1" maxValue="25"/>
    </cacheField>
    <cacheField name="Field15" caption="Field15" numFmtId="0">
      <sharedItems containsString="0" containsBlank="1" containsNumber="1" containsInteger="1" minValue="37" maxValue="37"/>
    </cacheField>
    <cacheField name="Claim Amount Flag" numFmtId="0">
      <sharedItems/>
    </cacheField>
    <cacheField name="Days (Claim Date)" numFmtId="0" databaseField="0">
      <fieldGroup base="6">
        <rangePr groupBy="days" startDate="2024-01-01T00:00:00" endDate="2024-12-30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/12/2024"/>
        </groupItems>
      </fieldGroup>
    </cacheField>
    <cacheField name="Months (Claim Date)" numFmtId="0" databaseField="0">
      <fieldGroup base="6">
        <rangePr groupBy="months" startDate="2024-01-01T00:00:00" endDate="2024-12-30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LM00014"/>
    <s v="P0014"/>
    <x v="0"/>
    <s v="Apapa Branch"/>
    <s v="Laboratory Test"/>
    <s v="R73.0"/>
    <x v="0"/>
    <d v="2024-07-06T00:00:00"/>
    <n v="406921"/>
    <n v="0"/>
    <s v="Rejected"/>
    <s v="Service Not Covered"/>
    <s v="PR003"/>
    <n v="4"/>
    <n v="37"/>
    <s v="Recorded"/>
  </r>
  <r>
    <s v="CLM00064"/>
    <s v="P0064"/>
    <x v="1"/>
    <s v="Yaba Branch"/>
    <s v="Maternity"/>
    <s v="O80"/>
    <x v="1"/>
    <d v="2024-01-11T00:00:00"/>
    <n v="289828"/>
    <n v="289828"/>
    <s v="Approved"/>
    <m/>
    <s v="PR011"/>
    <n v="4"/>
    <m/>
    <s v="Recorded"/>
  </r>
  <r>
    <s v="CLM00100"/>
    <s v="P0100"/>
    <x v="1"/>
    <s v="Yaba Branch"/>
    <s v="Outpatient Consultation"/>
    <s v="E11.9"/>
    <x v="2"/>
    <d v="2024-11-04T00:00:00"/>
    <m/>
    <n v="520219"/>
    <s v="Partially Approved"/>
    <m/>
    <s v="PR004"/>
    <n v="4"/>
    <m/>
    <s v="Missing"/>
  </r>
  <r>
    <s v="CLM00271"/>
    <s v="P0271"/>
    <x v="2"/>
    <s v="Lekki Branch"/>
    <s v="Surgery"/>
    <s v="K35.8"/>
    <x v="3"/>
    <d v="2024-08-04T00:00:00"/>
    <n v="623936"/>
    <n v="623936"/>
    <s v="Approved"/>
    <m/>
    <s v="PR012"/>
    <n v="11"/>
    <m/>
    <s v="Recorded"/>
  </r>
  <r>
    <s v="CLM00204"/>
    <s v="P0204"/>
    <x v="0"/>
    <s v="Lekki Branch"/>
    <s v="Outpatient Consultation"/>
    <s v="I10"/>
    <x v="4"/>
    <d v="2025-01-01T00:00:00"/>
    <n v="773168"/>
    <n v="525502"/>
    <s v="Partially Approved"/>
    <m/>
    <s v="PR012"/>
    <n v="11"/>
    <m/>
    <s v="Recorded"/>
  </r>
  <r>
    <s v="CLM00118"/>
    <s v="P0118"/>
    <x v="1"/>
    <s v="Lekki Branch"/>
    <s v="Diagnostic Imaging"/>
    <s v="M54.5"/>
    <x v="5"/>
    <d v="2024-02-27T00:00:00"/>
    <n v="396857"/>
    <n v="0"/>
    <s v="Rejected"/>
    <s v="Policy Expired"/>
    <s v="PR006"/>
    <n v="12"/>
    <m/>
    <s v="Recorded"/>
  </r>
  <r>
    <s v="CLM00107"/>
    <s v="P0107"/>
    <x v="2"/>
    <s v="Surulere Branch"/>
    <s v="Inpatient Admission"/>
    <s v="I50.9"/>
    <x v="6"/>
    <d v="2024-05-24T00:00:00"/>
    <n v="935117"/>
    <n v="935117"/>
    <s v="Approved"/>
    <m/>
    <s v="PR002"/>
    <n v="19"/>
    <m/>
    <s v="Recorded"/>
  </r>
  <r>
    <s v="CLM00239"/>
    <s v="P0239"/>
    <x v="0"/>
    <s v="Ikeja Branch"/>
    <s v="Outpatient Consultation"/>
    <s v="I10"/>
    <x v="7"/>
    <d v="2024-09-09T00:00:00"/>
    <n v="287193"/>
    <n v="287193"/>
    <s v="Approved"/>
    <m/>
    <s v="PR014"/>
    <n v="8"/>
    <m/>
    <s v="Recorded"/>
  </r>
  <r>
    <s v="CLM00108"/>
    <s v="P0108"/>
    <x v="0"/>
    <s v="Yaba Branch"/>
    <s v="Inpatient Admission"/>
    <s v="J44.1"/>
    <x v="8"/>
    <d v="2024-10-11T00:00:00"/>
    <n v="693062"/>
    <n v="693062"/>
    <s v="Approved"/>
    <m/>
    <s v="PR002"/>
    <n v="15"/>
    <m/>
    <s v="Recorded"/>
  </r>
  <r>
    <s v="CLM00111"/>
    <s v="P0111"/>
    <x v="3"/>
    <s v="Ikeja Branch"/>
    <s v="Outpatient Consultation"/>
    <s v="E11.9"/>
    <x v="9"/>
    <d v="2024-11-05T00:00:00"/>
    <n v="374686"/>
    <n v="0"/>
    <s v="Rejected"/>
    <s v="Incomplete Documentation"/>
    <s v="PR003"/>
    <n v="4"/>
    <m/>
    <s v="Recorded"/>
  </r>
  <r>
    <s v="CLM00198"/>
    <s v="P0198"/>
    <x v="3"/>
    <s v="Lekki Branch"/>
    <s v="Pharmacy"/>
    <s v="E11.9"/>
    <x v="10"/>
    <m/>
    <m/>
    <m/>
    <s v="Pending"/>
    <m/>
    <s v="PR014"/>
    <s v="Pending"/>
    <m/>
    <s v="Missing"/>
  </r>
  <r>
    <s v="CLM00116"/>
    <s v="P0116"/>
    <x v="0"/>
    <s v="Ikeja Branch"/>
    <s v="Pharmacy"/>
    <s v="I10"/>
    <x v="11"/>
    <d v="2024-12-02T00:00:00"/>
    <n v="432645"/>
    <n v="432645"/>
    <s v="Approved"/>
    <m/>
    <s v="PR007"/>
    <n v="7"/>
    <m/>
    <s v="Recorded"/>
  </r>
  <r>
    <s v="CLM00167"/>
    <s v="P0167"/>
    <x v="2"/>
    <s v="Ikeja Branch"/>
    <s v="Diagnostic Imaging"/>
    <s v="R91.8"/>
    <x v="12"/>
    <d v="2024-05-25T00:00:00"/>
    <m/>
    <n v="494451"/>
    <s v="Approved"/>
    <m/>
    <s v="PR014"/>
    <n v="2"/>
    <m/>
    <s v="Missing"/>
  </r>
  <r>
    <s v="CLM00129"/>
    <s v="P0129"/>
    <x v="0"/>
    <s v="Yaba Branch"/>
    <s v="Pharmacy"/>
    <s v="E11.9"/>
    <x v="13"/>
    <m/>
    <n v="239868"/>
    <m/>
    <s v="Pending"/>
    <m/>
    <s v="PR006"/>
    <s v="Pending"/>
    <m/>
    <s v="Recorded"/>
  </r>
  <r>
    <s v="CLM00203"/>
    <s v="P0203"/>
    <x v="3"/>
    <s v="Ikeja Branch"/>
    <s v="Pharmacy"/>
    <s v="E11.9"/>
    <x v="14"/>
    <d v="2024-05-01T00:00:00"/>
    <n v="143233"/>
    <n v="76796"/>
    <s v="Partially Approved"/>
    <m/>
    <s v="PR004"/>
    <n v="10"/>
    <m/>
    <s v="Recorded"/>
  </r>
  <r>
    <s v="CLM00110"/>
    <s v="P0110"/>
    <x v="1"/>
    <s v="Apapa Branch"/>
    <s v="Inpatient Admission"/>
    <s v="I50.9"/>
    <x v="15"/>
    <d v="2024-07-29T00:00:00"/>
    <n v="478930"/>
    <n v="478930"/>
    <s v="Approved"/>
    <m/>
    <s v="PR013"/>
    <n v="20"/>
    <m/>
    <s v="Recorded"/>
  </r>
  <r>
    <s v="CLM00179"/>
    <s v="P0179"/>
    <x v="1"/>
    <s v="Lekki Branch"/>
    <s v="Pharmacy"/>
    <s v="I10"/>
    <x v="16"/>
    <m/>
    <n v="249648"/>
    <m/>
    <s v="Pending"/>
    <m/>
    <s v="PR007"/>
    <s v="Pending"/>
    <m/>
    <s v="Recorded"/>
  </r>
  <r>
    <s v="CLM00147"/>
    <s v="P0147"/>
    <x v="2"/>
    <s v="Lekki Branch"/>
    <s v="Inpatient Admission"/>
    <s v="J44.1"/>
    <x v="17"/>
    <d v="2024-07-06T00:00:00"/>
    <n v="352513"/>
    <n v="352513"/>
    <s v="Approved"/>
    <m/>
    <s v="PR015"/>
    <n v="20"/>
    <m/>
    <s v="Recorded"/>
  </r>
  <r>
    <s v="CLM00175"/>
    <s v="P0175"/>
    <x v="0"/>
    <s v="Apapa Branch"/>
    <s v="Pharmacy"/>
    <s v="E11.9"/>
    <x v="18"/>
    <d v="2024-11-19T00:00:00"/>
    <n v="272721"/>
    <n v="272721"/>
    <s v="Approved"/>
    <m/>
    <s v="PR001"/>
    <n v="9"/>
    <m/>
    <s v="Recorded"/>
  </r>
  <r>
    <s v="CLM00040"/>
    <s v="P0040"/>
    <x v="0"/>
    <s v="Lekki Branch"/>
    <s v="Diagnostic Imaging"/>
    <s v="R91.8"/>
    <x v="19"/>
    <d v="2024-07-31T00:00:00"/>
    <n v="178703"/>
    <n v="142057"/>
    <s v="Partially Approved"/>
    <m/>
    <s v="PR007"/>
    <n v="9"/>
    <m/>
    <s v="Recorded"/>
  </r>
  <r>
    <s v="CLM00196"/>
    <s v="P0196"/>
    <x v="0"/>
    <s v="Apapa Branch"/>
    <s v="Pharmacy"/>
    <s v="E11.9"/>
    <x v="20"/>
    <d v="2024-09-19T00:00:00"/>
    <n v="649455"/>
    <n v="316948"/>
    <s v="Partially Approved"/>
    <m/>
    <s v="PR012"/>
    <n v="6"/>
    <m/>
    <s v="Recorded"/>
  </r>
  <r>
    <s v="CLM00159"/>
    <s v="P0159"/>
    <x v="0"/>
    <s v="Lekki Branch"/>
    <s v="Outpatient Consultation"/>
    <s v="E11.9"/>
    <x v="21"/>
    <d v="2024-02-15T00:00:00"/>
    <n v="596518"/>
    <n v="596518"/>
    <s v="Approved"/>
    <m/>
    <s v="PR006"/>
    <n v="4"/>
    <m/>
    <s v="Recorded"/>
  </r>
  <r>
    <s v="CLM00209"/>
    <s v="P0209"/>
    <x v="1"/>
    <s v="Apapa Branch"/>
    <s v="Laboratory Test"/>
    <s v="Z00.0"/>
    <x v="22"/>
    <d v="2024-03-28T00:00:00"/>
    <n v="331588"/>
    <n v="0"/>
    <s v="Rejected"/>
    <s v="Duplicate Claim"/>
    <s v="PR004"/>
    <n v="10"/>
    <m/>
    <s v="Recorded"/>
  </r>
  <r>
    <s v="CLM00195"/>
    <s v="P0195"/>
    <x v="3"/>
    <s v="Ikeja Branch"/>
    <s v="Surgery"/>
    <s v="K35.8"/>
    <x v="23"/>
    <d v="2024-10-11T00:00:00"/>
    <m/>
    <n v="0"/>
    <s v="Rejected"/>
    <s v="Incomplete Documentation"/>
    <s v="PR004"/>
    <n v="5"/>
    <m/>
    <s v="Missing"/>
  </r>
  <r>
    <s v="CLM00237"/>
    <s v="P0237"/>
    <x v="1"/>
    <s v="Lekki Branch"/>
    <s v="Inpatient Admission"/>
    <s v="I50.9"/>
    <x v="24"/>
    <d v="2024-11-22T00:00:00"/>
    <n v="666971"/>
    <n v="0"/>
    <s v="Rejected"/>
    <s v="Service Not Covered"/>
    <s v="PR004"/>
    <n v="13"/>
    <m/>
    <s v="Recorded"/>
  </r>
  <r>
    <s v="CLM00136"/>
    <s v="P0136"/>
    <x v="3"/>
    <s v="Lekki Branch"/>
    <s v="Inpatient Admission"/>
    <s v="N18.6"/>
    <x v="25"/>
    <d v="2024-11-20T00:00:00"/>
    <n v="445976"/>
    <n v="0"/>
    <s v="Rejected"/>
    <s v="Pre-authorisation Missing"/>
    <s v="PR003"/>
    <n v="9"/>
    <m/>
    <s v="Recorded"/>
  </r>
  <r>
    <s v="CLM00223"/>
    <s v="P0223"/>
    <x v="2"/>
    <s v="Lekki Branch"/>
    <s v="Outpatient Consultation"/>
    <s v="I10"/>
    <x v="26"/>
    <d v="2024-07-01T00:00:00"/>
    <n v="37135"/>
    <n v="37135"/>
    <s v="Approved"/>
    <m/>
    <s v="PR009"/>
    <n v="2"/>
    <m/>
    <s v="Recorded"/>
  </r>
  <r>
    <s v="CLM00255"/>
    <s v="P0255"/>
    <x v="1"/>
    <s v="Surulere Branch"/>
    <s v="Maternity"/>
    <s v="O82"/>
    <x v="27"/>
    <d v="2024-06-07T00:00:00"/>
    <n v="784369"/>
    <n v="784369"/>
    <s v="Approved"/>
    <m/>
    <s v="PR008"/>
    <n v="18"/>
    <m/>
    <s v="Recorded"/>
  </r>
  <r>
    <s v="CLM00217"/>
    <s v="P0217"/>
    <x v="0"/>
    <s v="Yaba Branch"/>
    <s v="Pharmacy"/>
    <s v="E11.9"/>
    <x v="15"/>
    <d v="2024-07-11T00:00:00"/>
    <n v="833593"/>
    <n v="0"/>
    <s v="Rejected"/>
    <s v="Service Not Covered"/>
    <s v="PR001"/>
    <n v="2"/>
    <m/>
    <s v="Recorded"/>
  </r>
  <r>
    <s v="CLM00155"/>
    <s v="P0155"/>
    <x v="1"/>
    <s v="Apapa Branch"/>
    <s v="Surgery"/>
    <s v="K35.8"/>
    <x v="28"/>
    <d v="2024-11-19T00:00:00"/>
    <n v="835385"/>
    <n v="0"/>
    <s v="Rejected"/>
    <s v="Incomplete Documentation"/>
    <s v="PR013"/>
    <n v="7"/>
    <m/>
    <s v="Recorded"/>
  </r>
  <r>
    <s v="CLM00050"/>
    <s v="P0050"/>
    <x v="1"/>
    <s v="Surulere Branch"/>
    <s v="Maternity"/>
    <s v="O82"/>
    <x v="29"/>
    <d v="2024-12-25T00:00:00"/>
    <n v="367351"/>
    <n v="367351"/>
    <s v="Approved"/>
    <m/>
    <s v="PR012"/>
    <n v="7"/>
    <m/>
    <s v="Recorded"/>
  </r>
  <r>
    <s v="CLM00170"/>
    <s v="P0170"/>
    <x v="2"/>
    <s v="Ikeja Branch"/>
    <s v="Surgery"/>
    <s v="K35.8"/>
    <x v="30"/>
    <d v="2024-06-23T00:00:00"/>
    <n v="110620"/>
    <n v="110620"/>
    <s v="Approved"/>
    <m/>
    <s v="PR007"/>
    <n v="14"/>
    <m/>
    <s v="Recorded"/>
  </r>
  <r>
    <s v="CLM00005"/>
    <s v="P0005"/>
    <x v="3"/>
    <s v="Lekki Branch"/>
    <s v="Outpatient Consultation"/>
    <s v="E11.9"/>
    <x v="31"/>
    <d v="2024-10-21T00:00:00"/>
    <n v="398487"/>
    <n v="0"/>
    <s v="Rejected"/>
    <s v="Policy Expired"/>
    <s v="PR010"/>
    <n v="2"/>
    <m/>
    <s v="Recorded"/>
  </r>
  <r>
    <s v="CLM00173"/>
    <s v="P0173"/>
    <x v="2"/>
    <s v="Lekki Branch"/>
    <s v="Diagnostic Imaging"/>
    <s v="R91.8"/>
    <x v="32"/>
    <d v="2024-10-10T00:00:00"/>
    <n v="486973"/>
    <n v="486973"/>
    <s v="Approved"/>
    <m/>
    <s v="PR008"/>
    <n v="18"/>
    <m/>
    <s v="Recorded"/>
  </r>
  <r>
    <s v="CLM00006"/>
    <s v="P0006"/>
    <x v="3"/>
    <s v="Apapa Branch"/>
    <s v="Inpatient Admission"/>
    <s v="N18.6"/>
    <x v="33"/>
    <d v="2025-01-02T00:00:00"/>
    <n v="496218"/>
    <n v="496218"/>
    <s v="Approved"/>
    <m/>
    <s v="PR006"/>
    <n v="19"/>
    <m/>
    <s v="Recorded"/>
  </r>
  <r>
    <s v="CLM00033"/>
    <s v="P0033"/>
    <x v="1"/>
    <s v="Surulere Branch"/>
    <s v="Diagnostic Imaging"/>
    <s v="M54.5"/>
    <x v="20"/>
    <d v="2024-09-30T00:00:00"/>
    <m/>
    <n v="556936"/>
    <s v="Approved"/>
    <m/>
    <s v="PR008"/>
    <n v="17"/>
    <m/>
    <s v="Missing"/>
  </r>
  <r>
    <s v="CLM00241"/>
    <s v="P0241"/>
    <x v="1"/>
    <s v="Ikeja Branch"/>
    <s v="Outpatient Consultation"/>
    <s v="I10"/>
    <x v="6"/>
    <m/>
    <n v="915513"/>
    <m/>
    <s v="Pending"/>
    <m/>
    <s v="PR013"/>
    <s v="Pending"/>
    <m/>
    <s v="Recorded"/>
  </r>
  <r>
    <s v="CLM00186"/>
    <s v="P0186"/>
    <x v="1"/>
    <s v="Lekki Branch"/>
    <s v="Surgery"/>
    <s v="S72.0"/>
    <x v="34"/>
    <d v="2024-10-02T00:00:00"/>
    <n v="711834"/>
    <n v="711834"/>
    <s v="Approved"/>
    <m/>
    <s v="PR005"/>
    <n v="4"/>
    <m/>
    <s v="Recorded"/>
  </r>
  <r>
    <s v="CLM00162"/>
    <s v="P0162"/>
    <x v="1"/>
    <s v="Ikeja Branch"/>
    <s v="Laboratory Test"/>
    <s v="R73.0"/>
    <x v="35"/>
    <d v="2024-10-12T00:00:00"/>
    <n v="702262"/>
    <n v="702262"/>
    <s v="Approved"/>
    <m/>
    <s v="PR003"/>
    <n v="18"/>
    <m/>
    <s v="Recorded"/>
  </r>
  <r>
    <s v="CLM00046"/>
    <s v="P0046"/>
    <x v="2"/>
    <s v="Ikeja Branch"/>
    <s v="Laboratory Test"/>
    <s v="Z00.0"/>
    <x v="36"/>
    <d v="2024-08-29T00:00:00"/>
    <n v="446053"/>
    <n v="446053"/>
    <s v="Approved"/>
    <m/>
    <s v="PR001"/>
    <n v="9"/>
    <m/>
    <s v="Recorded"/>
  </r>
  <r>
    <s v="CLM00247"/>
    <s v="P0247"/>
    <x v="2"/>
    <s v="Apapa Branch"/>
    <s v="Surgery"/>
    <s v="K35.8"/>
    <x v="37"/>
    <d v="2024-04-08T00:00:00"/>
    <n v="27407"/>
    <n v="21070"/>
    <s v="Partially Approved"/>
    <m/>
    <s v="PR010"/>
    <n v="14"/>
    <m/>
    <s v="Recorded"/>
  </r>
  <r>
    <s v="CLM00094"/>
    <s v="P0094"/>
    <x v="2"/>
    <s v="Yaba Branch"/>
    <s v="Inpatient Admission"/>
    <s v="I50.9"/>
    <x v="38"/>
    <d v="2024-12-11T00:00:00"/>
    <n v="790561"/>
    <n v="422007"/>
    <s v="Partially Approved"/>
    <m/>
    <s v="PR007"/>
    <n v="11"/>
    <m/>
    <s v="Recorded"/>
  </r>
  <r>
    <s v="CLM00290"/>
    <s v="P0290"/>
    <x v="1"/>
    <s v="Apapa Branch"/>
    <s v="Inpatient Admission"/>
    <s v="N18.6"/>
    <x v="39"/>
    <d v="2024-11-11T00:00:00"/>
    <n v="922767"/>
    <n v="922767"/>
    <s v="Approved"/>
    <m/>
    <s v="PR002"/>
    <n v="4"/>
    <m/>
    <s v="Recorded"/>
  </r>
  <r>
    <s v="CLM00032"/>
    <s v="P0032"/>
    <x v="1"/>
    <s v="Apapa Branch"/>
    <s v="Inpatient Admission"/>
    <s v="J44.1"/>
    <x v="40"/>
    <d v="2024-06-20T00:00:00"/>
    <n v="882716"/>
    <n v="882716"/>
    <s v="Approved"/>
    <m/>
    <s v="PR012"/>
    <n v="5"/>
    <m/>
    <s v="Recorded"/>
  </r>
  <r>
    <s v="CLM00235"/>
    <s v="P0235"/>
    <x v="0"/>
    <s v="Ikeja Branch"/>
    <s v="Surgery"/>
    <s v="S72.0"/>
    <x v="41"/>
    <d v="2024-06-04T00:00:00"/>
    <n v="152781"/>
    <n v="0"/>
    <s v="Rejected"/>
    <s v="Service Not Covered"/>
    <s v="PR004"/>
    <n v="14"/>
    <m/>
    <s v="Recorded"/>
  </r>
  <r>
    <s v="CLM00252"/>
    <s v="P0252"/>
    <x v="3"/>
    <s v="Ikeja Branch"/>
    <s v="Pharmacy"/>
    <s v="I10"/>
    <x v="42"/>
    <d v="2024-12-22T00:00:00"/>
    <n v="666767"/>
    <n v="0"/>
    <s v="Rejected"/>
    <s v="Incomplete Documentation"/>
    <s v="PR005"/>
    <n v="9"/>
    <m/>
    <s v="Recorded"/>
  </r>
  <r>
    <s v="CLM00034"/>
    <s v="P0034"/>
    <x v="2"/>
    <s v="Apapa Branch"/>
    <s v="Outpatient Consultation"/>
    <s v="J45.0"/>
    <x v="43"/>
    <d v="2024-04-02T00:00:00"/>
    <n v="768420"/>
    <n v="768420"/>
    <s v="Approved"/>
    <m/>
    <s v="PR006"/>
    <n v="4"/>
    <m/>
    <s v="Recorded"/>
  </r>
  <r>
    <s v="CLM00133"/>
    <s v="P0133"/>
    <x v="1"/>
    <s v="Surulere Branch"/>
    <s v="Maternity"/>
    <s v="O80"/>
    <x v="44"/>
    <d v="2024-06-03T00:00:00"/>
    <n v="668368"/>
    <n v="486772"/>
    <s v="Partially Approved"/>
    <m/>
    <s v="PR005"/>
    <n v="25"/>
    <m/>
    <s v="Recorded"/>
  </r>
  <r>
    <s v="CLM00182"/>
    <s v="P0182"/>
    <x v="0"/>
    <s v="Ikeja Branch"/>
    <s v="Outpatient Consultation"/>
    <s v="E11.9"/>
    <x v="40"/>
    <m/>
    <n v="155221"/>
    <m/>
    <s v="Pending"/>
    <m/>
    <s v="PR006"/>
    <s v="Pending"/>
    <m/>
    <s v="Recorded"/>
  </r>
  <r>
    <s v="CLM00294"/>
    <s v="P0294"/>
    <x v="0"/>
    <s v="Lekki Branch"/>
    <s v="Laboratory Test"/>
    <s v="Z00.0"/>
    <x v="45"/>
    <d v="2024-01-28T00:00:00"/>
    <n v="732517"/>
    <n v="732517"/>
    <s v="Approved"/>
    <m/>
    <s v="PR001"/>
    <n v="12"/>
    <m/>
    <s v="Recorded"/>
  </r>
  <r>
    <s v="CLM00060"/>
    <s v="P0060"/>
    <x v="2"/>
    <s v="Yaba Branch"/>
    <s v="Outpatient Consultation"/>
    <s v="I10"/>
    <x v="46"/>
    <d v="2024-08-20T00:00:00"/>
    <n v="666261"/>
    <n v="0"/>
    <s v="Rejected"/>
    <s v="Policy Expired"/>
    <s v="PR008"/>
    <n v="1"/>
    <m/>
    <s v="Recorded"/>
  </r>
  <r>
    <s v="CLM00169"/>
    <s v="P0169"/>
    <x v="0"/>
    <s v="Apapa Branch"/>
    <s v="Maternity"/>
    <s v="O82"/>
    <x v="47"/>
    <d v="2024-05-12T00:00:00"/>
    <n v="692180"/>
    <n v="0"/>
    <s v="Rejected"/>
    <s v="Policy Expired"/>
    <s v="PR011"/>
    <n v="15"/>
    <m/>
    <s v="Recorded"/>
  </r>
  <r>
    <s v="CLM00276"/>
    <s v="P0276"/>
    <x v="3"/>
    <s v="Yaba Branch"/>
    <s v="Surgery"/>
    <s v="S72.0"/>
    <x v="48"/>
    <d v="2024-11-02T00:00:00"/>
    <n v="214202"/>
    <n v="214202"/>
    <s v="Approved"/>
    <m/>
    <s v="PR009"/>
    <n v="6"/>
    <m/>
    <s v="Recorded"/>
  </r>
  <r>
    <s v="CLM00132"/>
    <s v="P0132"/>
    <x v="2"/>
    <s v="Yaba Branch"/>
    <s v="Diagnostic Imaging"/>
    <s v="M54.5"/>
    <x v="49"/>
    <d v="2024-07-28T00:00:00"/>
    <n v="128668"/>
    <n v="128668"/>
    <s v="Approved"/>
    <m/>
    <s v="PR014"/>
    <n v="17"/>
    <m/>
    <s v="Recorded"/>
  </r>
  <r>
    <s v="CLM00141"/>
    <s v="P0141"/>
    <x v="2"/>
    <s v="Ikeja Branch"/>
    <s v="Outpatient Consultation"/>
    <s v="J45.0"/>
    <x v="50"/>
    <d v="2024-10-05T00:00:00"/>
    <n v="257213"/>
    <n v="257213"/>
    <s v="Approved"/>
    <m/>
    <s v="PR013"/>
    <n v="6"/>
    <m/>
    <s v="Recorded"/>
  </r>
  <r>
    <s v="CLM00152"/>
    <s v="P0152"/>
    <x v="1"/>
    <s v="Ikeja Branch"/>
    <s v="Pharmacy"/>
    <s v="I10"/>
    <x v="51"/>
    <d v="2024-02-26T00:00:00"/>
    <m/>
    <n v="125408"/>
    <s v="Approved"/>
    <m/>
    <s v="PR014"/>
    <n v="2"/>
    <m/>
    <s v="Missing"/>
  </r>
  <r>
    <s v="CLM00219"/>
    <s v="P0219"/>
    <x v="1"/>
    <s v="Surulere Branch"/>
    <s v="Outpatient Consultation"/>
    <s v="I10"/>
    <x v="52"/>
    <m/>
    <n v="145262"/>
    <m/>
    <s v="Pending"/>
    <m/>
    <s v="PR001"/>
    <s v="Pending"/>
    <m/>
    <s v="Recorded"/>
  </r>
  <r>
    <s v="CLM00157"/>
    <s v="P0157"/>
    <x v="2"/>
    <s v="Surulere Branch"/>
    <s v="Outpatient Consultation"/>
    <s v="E11.9"/>
    <x v="53"/>
    <d v="2024-04-25T00:00:00"/>
    <n v="12573"/>
    <n v="12573"/>
    <s v="Approved"/>
    <m/>
    <s v="PR008"/>
    <n v="12"/>
    <m/>
    <s v="Recorded"/>
  </r>
  <r>
    <s v="CLM00231"/>
    <s v="P0231"/>
    <x v="1"/>
    <s v="Surulere Branch"/>
    <s v="Outpatient Consultation"/>
    <s v="I10"/>
    <x v="54"/>
    <d v="2024-09-08T00:00:00"/>
    <n v="127714"/>
    <n v="48107"/>
    <s v="Partially Approved"/>
    <m/>
    <s v="PR015"/>
    <n v="18"/>
    <m/>
    <s v="Recorded"/>
  </r>
  <r>
    <s v="CLM00017"/>
    <s v="P0017"/>
    <x v="3"/>
    <s v="Apapa Branch"/>
    <s v="Surgery"/>
    <s v="K35.8"/>
    <x v="55"/>
    <d v="2024-08-05T00:00:00"/>
    <n v="673100"/>
    <n v="673100"/>
    <s v="Approved"/>
    <m/>
    <s v="PR002"/>
    <n v="13"/>
    <m/>
    <s v="Recorded"/>
  </r>
  <r>
    <s v="CLM00101"/>
    <s v="P0101"/>
    <x v="3"/>
    <s v="Surulere Branch"/>
    <s v="Diagnostic Imaging"/>
    <s v="M54.5"/>
    <x v="56"/>
    <m/>
    <n v="458822"/>
    <m/>
    <s v="Pending"/>
    <m/>
    <s v="PR003"/>
    <s v="Pending"/>
    <m/>
    <s v="Recorded"/>
  </r>
  <r>
    <s v="CLM00275"/>
    <s v="P0275"/>
    <x v="3"/>
    <s v="Ikeja Branch"/>
    <s v="Diagnostic Imaging"/>
    <s v="M54.5"/>
    <x v="57"/>
    <m/>
    <n v="329640"/>
    <m/>
    <s v="Pending"/>
    <m/>
    <s v="PR009"/>
    <s v="Pending"/>
    <m/>
    <s v="Recorded"/>
  </r>
  <r>
    <s v="CLM00150"/>
    <s v="P0150"/>
    <x v="3"/>
    <s v="Ikeja Branch"/>
    <s v="Maternity"/>
    <s v="O80"/>
    <x v="58"/>
    <d v="2024-06-28T00:00:00"/>
    <n v="742778"/>
    <n v="233504"/>
    <s v="Partially Approved"/>
    <m/>
    <s v="PR011"/>
    <n v="3"/>
    <m/>
    <s v="Recorded"/>
  </r>
  <r>
    <s v="CLM00283"/>
    <s v="P0283"/>
    <x v="2"/>
    <s v="Surulere Branch"/>
    <s v="Diagnostic Imaging"/>
    <s v="R91.8"/>
    <x v="59"/>
    <d v="2024-07-31T00:00:00"/>
    <n v="515919"/>
    <n v="515919"/>
    <s v="Approved"/>
    <m/>
    <s v="PR004"/>
    <n v="1"/>
    <m/>
    <s v="Recorded"/>
  </r>
  <r>
    <s v="CLM00047"/>
    <s v="P0047"/>
    <x v="1"/>
    <s v="Lekki Branch"/>
    <s v="Outpatient Consultation"/>
    <s v="J45.0"/>
    <x v="60"/>
    <d v="2024-06-04T00:00:00"/>
    <n v="335147"/>
    <n v="335147"/>
    <s v="Approved"/>
    <m/>
    <s v="PR013"/>
    <n v="21"/>
    <m/>
    <s v="Recorded"/>
  </r>
  <r>
    <s v="CLM00088"/>
    <s v="P0088"/>
    <x v="3"/>
    <s v="Yaba Branch"/>
    <s v="Outpatient Consultation"/>
    <s v="J45.0"/>
    <x v="61"/>
    <d v="2024-04-23T00:00:00"/>
    <n v="686605"/>
    <n v="686605"/>
    <s v="Approved"/>
    <m/>
    <s v="PR004"/>
    <n v="14"/>
    <m/>
    <s v="Recorded"/>
  </r>
  <r>
    <s v="CLM00079"/>
    <s v="P0079"/>
    <x v="2"/>
    <s v="Ikeja Branch"/>
    <s v="Diagnostic Imaging"/>
    <s v="M54.5"/>
    <x v="62"/>
    <d v="2024-07-28T00:00:00"/>
    <n v="228206"/>
    <n v="228206"/>
    <s v="Approved"/>
    <m/>
    <s v="PR013"/>
    <n v="13"/>
    <m/>
    <s v="Recorded"/>
  </r>
  <r>
    <s v="CLM00298"/>
    <s v="P0298"/>
    <x v="1"/>
    <s v="Yaba Branch"/>
    <s v="Surgery"/>
    <s v="K35.8"/>
    <x v="63"/>
    <d v="2024-01-03T00:00:00"/>
    <n v="308244"/>
    <n v="308244"/>
    <s v="Approved"/>
    <m/>
    <s v="PR010"/>
    <n v="2"/>
    <m/>
    <s v="Recorded"/>
  </r>
  <r>
    <s v="CLM00153"/>
    <s v="P0153"/>
    <x v="3"/>
    <s v="Ikeja Branch"/>
    <s v="Pharmacy"/>
    <s v="I10"/>
    <x v="7"/>
    <d v="2024-09-22T00:00:00"/>
    <n v="838437"/>
    <n v="838437"/>
    <s v="Approved"/>
    <m/>
    <s v="PR006"/>
    <n v="21"/>
    <m/>
    <s v="Recorded"/>
  </r>
  <r>
    <s v="CLM00058"/>
    <s v="P0058"/>
    <x v="3"/>
    <s v="Apapa Branch"/>
    <s v="Diagnostic Imaging"/>
    <s v="M54.5"/>
    <x v="64"/>
    <m/>
    <n v="154074"/>
    <m/>
    <s v="Pending"/>
    <m/>
    <s v="PR013"/>
    <s v="Pending"/>
    <m/>
    <s v="Recorded"/>
  </r>
  <r>
    <s v="CLM00238"/>
    <s v="P0238"/>
    <x v="3"/>
    <s v="Ikeja Branch"/>
    <s v="Diagnostic Imaging"/>
    <s v="M54.5"/>
    <x v="65"/>
    <d v="2024-02-08T00:00:00"/>
    <n v="359503"/>
    <n v="359503"/>
    <s v="Approved"/>
    <m/>
    <s v="PR014"/>
    <n v="10"/>
    <m/>
    <s v="Recorded"/>
  </r>
  <r>
    <s v="CLM00025"/>
    <s v="P0025"/>
    <x v="1"/>
    <s v="Surulere Branch"/>
    <s v="Laboratory Test"/>
    <s v="Z00.0"/>
    <x v="66"/>
    <m/>
    <n v="503179"/>
    <m/>
    <s v="Pending"/>
    <m/>
    <s v="PR012"/>
    <s v="Pending"/>
    <m/>
    <s v="Recorded"/>
  </r>
  <r>
    <s v="CLM00244"/>
    <s v="P0244"/>
    <x v="3"/>
    <s v="Ikeja Branch"/>
    <s v="Outpatient Consultation"/>
    <s v="E11.9"/>
    <x v="61"/>
    <d v="2024-04-28T00:00:00"/>
    <n v="675772"/>
    <n v="675772"/>
    <s v="Approved"/>
    <m/>
    <s v="PR004"/>
    <n v="19"/>
    <m/>
    <s v="Recorded"/>
  </r>
  <r>
    <s v="CLM00208"/>
    <s v="P0208"/>
    <x v="2"/>
    <s v="Surulere Branch"/>
    <s v="Surgery"/>
    <s v="K35.8"/>
    <x v="46"/>
    <d v="2024-08-31T00:00:00"/>
    <n v="830738"/>
    <n v="562729"/>
    <s v="Partially Approved"/>
    <m/>
    <s v="PR001"/>
    <n v="12"/>
    <m/>
    <s v="Recorded"/>
  </r>
  <r>
    <s v="CLM00253"/>
    <s v="P0253"/>
    <x v="3"/>
    <s v="Apapa Branch"/>
    <s v="Outpatient Consultation"/>
    <s v="I10"/>
    <x v="67"/>
    <d v="2024-05-14T00:00:00"/>
    <n v="309489"/>
    <n v="110339"/>
    <s v="Partially Approved"/>
    <m/>
    <s v="PR002"/>
    <n v="13"/>
    <m/>
    <s v="Recorded"/>
  </r>
  <r>
    <s v="CLM00199"/>
    <s v="P0199"/>
    <x v="2"/>
    <s v="Yaba Branch"/>
    <s v="Maternity"/>
    <s v="O82"/>
    <x v="68"/>
    <d v="2024-06-04T00:00:00"/>
    <n v="341947"/>
    <n v="341947"/>
    <s v="Approved"/>
    <m/>
    <s v="PR011"/>
    <n v="1"/>
    <m/>
    <s v="Recorded"/>
  </r>
  <r>
    <s v="CLM00018"/>
    <s v="P0018"/>
    <x v="2"/>
    <s v="Surulere Branch"/>
    <s v="Inpatient Admission"/>
    <s v="I50.9"/>
    <x v="69"/>
    <d v="2024-06-24T00:00:00"/>
    <n v="115352"/>
    <n v="0"/>
    <s v="Rejected"/>
    <s v="Policy Expired"/>
    <s v="PR002"/>
    <n v="1"/>
    <m/>
    <s v="Recorded"/>
  </r>
  <r>
    <s v="CLM00260"/>
    <s v="P0260"/>
    <x v="1"/>
    <s v="Surulere Branch"/>
    <s v="Pharmacy"/>
    <s v="I10"/>
    <x v="16"/>
    <d v="2024-07-09T00:00:00"/>
    <n v="122550"/>
    <n v="0"/>
    <s v="Rejected"/>
    <s v="Service Not Covered"/>
    <s v="PR011"/>
    <n v="9"/>
    <m/>
    <s v="Recorded"/>
  </r>
  <r>
    <s v="CLM00187"/>
    <s v="P0187"/>
    <x v="0"/>
    <s v="Lekki Branch"/>
    <s v="Pharmacy"/>
    <s v="E11.9"/>
    <x v="70"/>
    <d v="2024-09-14T00:00:00"/>
    <n v="515899"/>
    <n v="515899"/>
    <s v="Approved"/>
    <m/>
    <s v="PR012"/>
    <n v="15"/>
    <m/>
    <s v="Recorded"/>
  </r>
  <r>
    <s v="CLM00292"/>
    <s v="P0292"/>
    <x v="3"/>
    <s v="Lekki Branch"/>
    <s v="Pharmacy"/>
    <s v="E11.9"/>
    <x v="71"/>
    <d v="2024-07-01T00:00:00"/>
    <n v="79387"/>
    <n v="79387"/>
    <s v="Approved"/>
    <m/>
    <s v="PR013"/>
    <n v="18"/>
    <m/>
    <s v="Recorded"/>
  </r>
  <r>
    <s v="CLM00194"/>
    <s v="P0194"/>
    <x v="3"/>
    <s v="Surulere Branch"/>
    <s v="Pharmacy"/>
    <s v="E11.9"/>
    <x v="72"/>
    <d v="2024-06-23T00:00:00"/>
    <n v="321754"/>
    <n v="321754"/>
    <s v="Approved"/>
    <m/>
    <s v="PR011"/>
    <n v="5"/>
    <m/>
    <s v="Recorded"/>
  </r>
  <r>
    <s v="CLM00181"/>
    <s v="P0181"/>
    <x v="1"/>
    <s v="Yaba Branch"/>
    <s v="Surgery"/>
    <s v="K35.8"/>
    <x v="73"/>
    <d v="2024-08-18T00:00:00"/>
    <n v="97570"/>
    <n v="0"/>
    <s v="Rejected"/>
    <s v="Pre-authorisation Missing"/>
    <s v="PR005"/>
    <n v="11"/>
    <m/>
    <s v="Recorded"/>
  </r>
  <r>
    <s v="CLM00039"/>
    <s v="P0039"/>
    <x v="3"/>
    <s v="Yaba Branch"/>
    <s v="Pharmacy"/>
    <s v="E11.9"/>
    <x v="74"/>
    <d v="2024-03-26T00:00:00"/>
    <n v="682714"/>
    <n v="430197"/>
    <s v="Partially Approved"/>
    <m/>
    <s v="PR003"/>
    <n v="6"/>
    <m/>
    <s v="Recorded"/>
  </r>
  <r>
    <s v="CLM00089"/>
    <s v="P0089"/>
    <x v="3"/>
    <s v="Surulere Branch"/>
    <s v="Laboratory Test"/>
    <s v="Z00.0"/>
    <x v="75"/>
    <d v="2024-09-23T00:00:00"/>
    <n v="761225"/>
    <n v="761225"/>
    <s v="Approved"/>
    <m/>
    <s v="PR007"/>
    <n v="14"/>
    <m/>
    <s v="Recorded"/>
  </r>
  <r>
    <s v="CLM00043"/>
    <s v="P0043"/>
    <x v="2"/>
    <s v="Ikeja Branch"/>
    <s v="Outpatient Consultation"/>
    <s v="I10"/>
    <x v="76"/>
    <d v="2024-05-24T00:00:00"/>
    <n v="291583"/>
    <n v="291583"/>
    <s v="Approved"/>
    <m/>
    <s v="PR014"/>
    <n v="5"/>
    <m/>
    <s v="Recorded"/>
  </r>
  <r>
    <s v="CLM00099"/>
    <s v="P0099"/>
    <x v="1"/>
    <s v="Yaba Branch"/>
    <s v="Laboratory Test"/>
    <s v="R73.0"/>
    <x v="77"/>
    <d v="2024-07-15T00:00:00"/>
    <n v="654948"/>
    <n v="210757"/>
    <s v="Partially Approved"/>
    <m/>
    <s v="PR006"/>
    <n v="25"/>
    <m/>
    <s v="Recorded"/>
  </r>
  <r>
    <s v="CLM00172"/>
    <s v="P0172"/>
    <x v="2"/>
    <s v="Yaba Branch"/>
    <s v="Pharmacy"/>
    <s v="E11.9"/>
    <x v="78"/>
    <m/>
    <m/>
    <m/>
    <s v="Pending"/>
    <m/>
    <s v="PR009"/>
    <s v="Pending"/>
    <m/>
    <s v="Missing"/>
  </r>
  <r>
    <s v="CLM00236"/>
    <s v="P0236"/>
    <x v="3"/>
    <s v="Lekki Branch"/>
    <s v="Inpatient Admission"/>
    <s v="J44.1"/>
    <x v="79"/>
    <m/>
    <n v="940525"/>
    <m/>
    <s v="Pending"/>
    <m/>
    <s v="PR008"/>
    <s v="Pending"/>
    <m/>
    <s v="Recorded"/>
  </r>
  <r>
    <s v="CLM00052"/>
    <s v="P0052"/>
    <x v="1"/>
    <s v="Surulere Branch"/>
    <s v="Inpatient Admission"/>
    <s v="I50.9"/>
    <x v="80"/>
    <d v="2024-02-27T00:00:00"/>
    <n v="407383"/>
    <n v="0"/>
    <s v="Rejected"/>
    <s v="Policy Expired"/>
    <s v="PR005"/>
    <n v="14"/>
    <m/>
    <s v="Recorded"/>
  </r>
  <r>
    <s v="CLM00020"/>
    <s v="P0020"/>
    <x v="1"/>
    <s v="Surulere Branch"/>
    <s v="Outpatient Consultation"/>
    <s v="J45.0"/>
    <x v="81"/>
    <d v="2024-09-17T00:00:00"/>
    <n v="496625"/>
    <n v="268275"/>
    <s v="Partially Approved"/>
    <m/>
    <s v="PR002"/>
    <n v="11"/>
    <m/>
    <s v="Recorded"/>
  </r>
  <r>
    <s v="CLM00081"/>
    <s v="P0081"/>
    <x v="2"/>
    <s v="Surulere Branch"/>
    <s v="Surgery"/>
    <s v="K35.8"/>
    <x v="82"/>
    <d v="2024-08-11T00:00:00"/>
    <n v="897909"/>
    <n v="634973"/>
    <s v="Partially Approved"/>
    <m/>
    <s v="PR007"/>
    <n v="2"/>
    <m/>
    <s v="Recorded"/>
  </r>
  <r>
    <s v="CLM00297"/>
    <s v="P0297"/>
    <x v="0"/>
    <s v="Ikeja Branch"/>
    <s v="Maternity"/>
    <s v="O82"/>
    <x v="83"/>
    <d v="2024-11-28T00:00:00"/>
    <n v="196399"/>
    <n v="0"/>
    <s v="Rejected"/>
    <s v="Service Not Covered"/>
    <s v="PR012"/>
    <n v="10"/>
    <m/>
    <s v="Recorded"/>
  </r>
  <r>
    <s v="CLM00055"/>
    <s v="P0055"/>
    <x v="3"/>
    <s v="Surulere Branch"/>
    <s v="Laboratory Test"/>
    <s v="Z00.0"/>
    <x v="84"/>
    <d v="2024-05-16T00:00:00"/>
    <n v="103264"/>
    <n v="103264"/>
    <s v="Approved"/>
    <m/>
    <s v="PR003"/>
    <n v="9"/>
    <m/>
    <s v="Recorded"/>
  </r>
  <r>
    <s v="CLM00221"/>
    <s v="P0221"/>
    <x v="0"/>
    <s v="Ikeja Branch"/>
    <s v="Pharmacy"/>
    <s v="I10"/>
    <x v="85"/>
    <d v="2024-03-07T00:00:00"/>
    <n v="102326"/>
    <n v="0"/>
    <s v="Rejected"/>
    <s v="Pre-authorisation Missing"/>
    <s v="PR011"/>
    <n v="5"/>
    <m/>
    <s v="Recorded"/>
  </r>
  <r>
    <s v="CLM00067"/>
    <s v="P0067"/>
    <x v="2"/>
    <s v="Lekki Branch"/>
    <s v="Outpatient Consultation"/>
    <s v="E11.9"/>
    <x v="86"/>
    <d v="2024-02-28T00:00:00"/>
    <n v="282526"/>
    <n v="282526"/>
    <s v="Approved"/>
    <m/>
    <s v="PR014"/>
    <n v="12"/>
    <m/>
    <s v="Recorded"/>
  </r>
  <r>
    <s v="CLM00216"/>
    <s v="P0216"/>
    <x v="3"/>
    <s v="Yaba Branch"/>
    <s v="Laboratory Test"/>
    <s v="R73.0"/>
    <x v="87"/>
    <m/>
    <n v="906577"/>
    <m/>
    <s v="Pending"/>
    <m/>
    <s v="PR001"/>
    <s v="Pending"/>
    <m/>
    <s v="Recorded"/>
  </r>
  <r>
    <s v="CLM00274"/>
    <s v="P0274"/>
    <x v="2"/>
    <s v="Surulere Branch"/>
    <s v="Inpatient Admission"/>
    <s v="I50.9"/>
    <x v="83"/>
    <d v="2024-11-24T00:00:00"/>
    <n v="119799"/>
    <n v="0"/>
    <s v="Rejected"/>
    <s v="Policy Expired"/>
    <s v="PR011"/>
    <n v="6"/>
    <m/>
    <s v="Recorded"/>
  </r>
  <r>
    <s v="CLM00137"/>
    <s v="P0137"/>
    <x v="0"/>
    <s v="Lekki Branch"/>
    <s v="Maternity"/>
    <s v="O80"/>
    <x v="88"/>
    <d v="2024-01-22T00:00:00"/>
    <n v="380205"/>
    <n v="380205"/>
    <s v="Approved"/>
    <m/>
    <s v="PR006"/>
    <n v="10"/>
    <m/>
    <s v="Recorded"/>
  </r>
  <r>
    <s v="CLM00259"/>
    <s v="P0259"/>
    <x v="1"/>
    <s v="Ikeja Branch"/>
    <s v="Pharmacy"/>
    <s v="E11.9"/>
    <x v="89"/>
    <d v="2024-04-05T00:00:00"/>
    <n v="643357"/>
    <n v="0"/>
    <s v="Rejected"/>
    <s v="Pre-authorisation Missing"/>
    <s v="PR001"/>
    <n v="14"/>
    <m/>
    <s v="Recorded"/>
  </r>
  <r>
    <s v="CLM00026"/>
    <s v="P0026"/>
    <x v="1"/>
    <s v="Yaba Branch"/>
    <s v="Surgery"/>
    <s v="K35.8"/>
    <x v="90"/>
    <d v="2024-07-21T00:00:00"/>
    <n v="245865"/>
    <n v="245865"/>
    <s v="Approved"/>
    <m/>
    <s v="PR004"/>
    <n v="16"/>
    <m/>
    <s v="Recorded"/>
  </r>
  <r>
    <s v="CLM00105"/>
    <s v="P0105"/>
    <x v="2"/>
    <s v="Ikeja Branch"/>
    <s v="Surgery"/>
    <s v="K35.8"/>
    <x v="91"/>
    <d v="2025-01-13T00:00:00"/>
    <n v="189604"/>
    <n v="79083"/>
    <s v="Partially Approved"/>
    <m/>
    <s v="PR015"/>
    <n v="15"/>
    <m/>
    <s v="Recorded"/>
  </r>
  <r>
    <s v="CLM00045"/>
    <s v="P0045"/>
    <x v="3"/>
    <s v="Lekki Branch"/>
    <s v="Surgery"/>
    <s v="S72.0"/>
    <x v="92"/>
    <d v="2024-05-27T00:00:00"/>
    <n v="673258"/>
    <n v="231791"/>
    <s v="Partially Approved"/>
    <m/>
    <s v="PR014"/>
    <n v="10"/>
    <m/>
    <s v="Recorded"/>
  </r>
  <r>
    <s v="CLM00257"/>
    <s v="P0257"/>
    <x v="1"/>
    <s v="Surulere Branch"/>
    <s v="Surgery"/>
    <s v="K35.8"/>
    <x v="45"/>
    <d v="2024-02-02T00:00:00"/>
    <n v="205975"/>
    <n v="205975"/>
    <s v="Approved"/>
    <m/>
    <s v="PR010"/>
    <n v="17"/>
    <m/>
    <s v="Recorded"/>
  </r>
  <r>
    <s v="CLM00262"/>
    <s v="P0262"/>
    <x v="1"/>
    <s v="Ikeja Branch"/>
    <s v="Diagnostic Imaging"/>
    <s v="M54.5"/>
    <x v="92"/>
    <m/>
    <n v="750970"/>
    <m/>
    <s v="Pending"/>
    <m/>
    <s v="PR012"/>
    <s v="Pending"/>
    <m/>
    <s v="Recorded"/>
  </r>
  <r>
    <s v="CLM00139"/>
    <s v="P0139"/>
    <x v="2"/>
    <s v="Lekki Branch"/>
    <s v="Surgery"/>
    <s v="S72.0"/>
    <x v="93"/>
    <d v="2024-02-13T00:00:00"/>
    <n v="921609"/>
    <n v="0"/>
    <s v="Rejected"/>
    <s v="Pre-authorisation Missing"/>
    <s v="PR005"/>
    <n v="11"/>
    <m/>
    <s v="Recorded"/>
  </r>
  <r>
    <s v="CLM00117"/>
    <s v="P0117"/>
    <x v="2"/>
    <s v="Surulere Branch"/>
    <s v="Outpatient Consultation"/>
    <s v="J45.0"/>
    <x v="94"/>
    <d v="2024-08-03T00:00:00"/>
    <n v="390444"/>
    <n v="0"/>
    <s v="Rejected"/>
    <s v="Service Not Covered"/>
    <s v="PR001"/>
    <n v="8"/>
    <m/>
    <s v="Recorded"/>
  </r>
  <r>
    <s v="CLM00131"/>
    <s v="P0131"/>
    <x v="0"/>
    <s v="Lekki Branch"/>
    <s v="Maternity"/>
    <s v="O82"/>
    <x v="25"/>
    <d v="2024-11-13T00:00:00"/>
    <n v="398350"/>
    <n v="398350"/>
    <s v="Approved"/>
    <m/>
    <s v="PR007"/>
    <n v="2"/>
    <m/>
    <s v="Recorded"/>
  </r>
  <r>
    <s v="CLM00189"/>
    <s v="P0189"/>
    <x v="3"/>
    <s v="Apapa Branch"/>
    <s v="Surgery"/>
    <s v="K35.8"/>
    <x v="95"/>
    <d v="2024-08-29T00:00:00"/>
    <n v="716781"/>
    <n v="716781"/>
    <s v="Approved"/>
    <m/>
    <s v="PR006"/>
    <n v="3"/>
    <m/>
    <s v="Recorded"/>
  </r>
  <r>
    <s v="CLM00285"/>
    <s v="P0285"/>
    <x v="1"/>
    <s v="Surulere Branch"/>
    <s v="Laboratory Test"/>
    <s v="R73.0"/>
    <x v="96"/>
    <d v="2024-12-11T00:00:00"/>
    <n v="450789"/>
    <n v="450789"/>
    <s v="Approved"/>
    <m/>
    <s v="PR007"/>
    <n v="12"/>
    <m/>
    <s v="Recorded"/>
  </r>
  <r>
    <s v="CLM00214"/>
    <s v="P0214"/>
    <x v="0"/>
    <s v="Surulere Branch"/>
    <s v="Maternity"/>
    <s v="O80"/>
    <x v="97"/>
    <m/>
    <n v="817675"/>
    <m/>
    <s v="Pending"/>
    <m/>
    <s v="PR007"/>
    <s v="Pending"/>
    <m/>
    <s v="Recorded"/>
  </r>
  <r>
    <s v="CLM00224"/>
    <s v="P0224"/>
    <x v="3"/>
    <s v="Surulere Branch"/>
    <s v="Outpatient Consultation"/>
    <s v="J45.0"/>
    <x v="98"/>
    <d v="2024-03-25T00:00:00"/>
    <n v="216615"/>
    <n v="216615"/>
    <s v="Approved"/>
    <m/>
    <s v="PR008"/>
    <n v="10"/>
    <m/>
    <s v="Recorded"/>
  </r>
  <r>
    <s v="CLM00138"/>
    <s v="P0138"/>
    <x v="1"/>
    <s v="Lekki Branch"/>
    <s v="Surgery"/>
    <s v="K35.8"/>
    <x v="99"/>
    <d v="2024-11-13T00:00:00"/>
    <n v="662237"/>
    <n v="662237"/>
    <s v="Approved"/>
    <m/>
    <s v="PR001"/>
    <n v="16"/>
    <m/>
    <s v="Recorded"/>
  </r>
  <r>
    <s v="CLM00299"/>
    <s v="P0299"/>
    <x v="1"/>
    <s v="Ikeja Branch"/>
    <s v="Inpatient Admission"/>
    <s v="J44.1"/>
    <x v="100"/>
    <d v="2024-03-09T00:00:00"/>
    <n v="228346"/>
    <n v="228346"/>
    <s v="Approved"/>
    <m/>
    <s v="PR002"/>
    <n v="12"/>
    <m/>
    <s v="Recorded"/>
  </r>
  <r>
    <s v="CLM00086"/>
    <s v="P0086"/>
    <x v="1"/>
    <s v="Apapa Branch"/>
    <s v="Inpatient Admission"/>
    <s v="N18.6"/>
    <x v="101"/>
    <d v="2024-05-14T00:00:00"/>
    <n v="9207"/>
    <n v="9207"/>
    <s v="Approved"/>
    <m/>
    <s v="PR008"/>
    <n v="1"/>
    <m/>
    <s v="Recorded"/>
  </r>
  <r>
    <s v="CLM00002"/>
    <s v="P0002"/>
    <x v="1"/>
    <s v="Lekki Branch"/>
    <s v="Outpatient Consultation"/>
    <s v="J45.0"/>
    <x v="102"/>
    <d v="2024-08-28T00:00:00"/>
    <n v="103119"/>
    <n v="103119"/>
    <s v="Approved"/>
    <m/>
    <s v="PR014"/>
    <n v="18"/>
    <m/>
    <s v="Recorded"/>
  </r>
  <r>
    <s v="CLM00057"/>
    <s v="P0057"/>
    <x v="2"/>
    <s v="Apapa Branch"/>
    <s v="Surgery"/>
    <s v="K35.8"/>
    <x v="103"/>
    <d v="2024-10-01T00:00:00"/>
    <n v="656761"/>
    <n v="656761"/>
    <s v="Approved"/>
    <m/>
    <s v="PR014"/>
    <n v="21"/>
    <m/>
    <s v="Recorded"/>
  </r>
  <r>
    <s v="CLM00130"/>
    <s v="P0130"/>
    <x v="1"/>
    <s v="Yaba Branch"/>
    <s v="Inpatient Admission"/>
    <s v="N18.6"/>
    <x v="18"/>
    <d v="2024-11-19T00:00:00"/>
    <n v="158546"/>
    <n v="158546"/>
    <s v="Approved"/>
    <m/>
    <s v="PR015"/>
    <n v="9"/>
    <m/>
    <s v="Recorded"/>
  </r>
  <r>
    <s v="CLM00174"/>
    <s v="P0174"/>
    <x v="1"/>
    <s v="Ikeja Branch"/>
    <s v="Diagnostic Imaging"/>
    <s v="M54.5"/>
    <x v="35"/>
    <d v="2024-10-01T00:00:00"/>
    <n v="487104"/>
    <n v="487104"/>
    <s v="Approved"/>
    <m/>
    <s v="PR003"/>
    <n v="7"/>
    <m/>
    <s v="Recorded"/>
  </r>
  <r>
    <s v="CLM00200"/>
    <s v="P0200"/>
    <x v="1"/>
    <s v="Ikeja Branch"/>
    <s v="Surgery"/>
    <s v="S72.0"/>
    <x v="104"/>
    <m/>
    <n v="449525"/>
    <m/>
    <s v="Pending"/>
    <m/>
    <s v="PR015"/>
    <s v="Pending"/>
    <m/>
    <s v="Recorded"/>
  </r>
  <r>
    <s v="CLM00054"/>
    <s v="P0054"/>
    <x v="1"/>
    <s v="Apapa Branch"/>
    <s v="Laboratory Test"/>
    <s v="Z00.0"/>
    <x v="105"/>
    <d v="2024-01-25T00:00:00"/>
    <m/>
    <n v="136004"/>
    <s v="Partially Approved"/>
    <m/>
    <s v="PR007"/>
    <n v="7"/>
    <m/>
    <s v="Missing"/>
  </r>
  <r>
    <s v="CLM00091"/>
    <s v="P0091"/>
    <x v="2"/>
    <s v="Surulere Branch"/>
    <s v="Inpatient Admission"/>
    <s v="N18.6"/>
    <x v="106"/>
    <d v="2024-06-20T00:00:00"/>
    <n v="527846"/>
    <n v="527846"/>
    <s v="Approved"/>
    <m/>
    <s v="PR004"/>
    <n v="20"/>
    <m/>
    <s v="Recorded"/>
  </r>
  <r>
    <s v="CLM00296"/>
    <s v="P0296"/>
    <x v="3"/>
    <s v="Lekki Branch"/>
    <s v="Diagnostic Imaging"/>
    <s v="R91.8"/>
    <x v="94"/>
    <d v="2024-08-02T00:00:00"/>
    <n v="459624"/>
    <n v="459624"/>
    <s v="Approved"/>
    <m/>
    <s v="PR003"/>
    <n v="7"/>
    <m/>
    <s v="Recorded"/>
  </r>
  <r>
    <s v="CLM00183"/>
    <s v="P0183"/>
    <x v="3"/>
    <s v="Apapa Branch"/>
    <s v="Outpatient Consultation"/>
    <s v="E11.9"/>
    <x v="57"/>
    <d v="2024-01-16T00:00:00"/>
    <n v="695820"/>
    <n v="695820"/>
    <s v="Approved"/>
    <m/>
    <s v="PR002"/>
    <n v="10"/>
    <m/>
    <s v="Recorded"/>
  </r>
  <r>
    <s v="CLM00286"/>
    <s v="P0286"/>
    <x v="2"/>
    <s v="Surulere Branch"/>
    <s v="Laboratory Test"/>
    <s v="R73.0"/>
    <x v="67"/>
    <d v="2024-05-02T00:00:00"/>
    <n v="704542"/>
    <n v="704542"/>
    <s v="Approved"/>
    <m/>
    <s v="PR003"/>
    <n v="1"/>
    <m/>
    <s v="Recorded"/>
  </r>
  <r>
    <s v="CLM00010"/>
    <s v="P0010"/>
    <x v="1"/>
    <s v="Yaba Branch"/>
    <s v="Diagnostic Imaging"/>
    <s v="M54.5"/>
    <x v="2"/>
    <d v="2024-11-03T00:00:00"/>
    <n v="80103"/>
    <n v="80103"/>
    <s v="Approved"/>
    <m/>
    <s v="PR008"/>
    <n v="3"/>
    <m/>
    <s v="Recorded"/>
  </r>
  <r>
    <s v="CLM00148"/>
    <s v="P0148"/>
    <x v="3"/>
    <s v="Apapa Branch"/>
    <s v="Surgery"/>
    <s v="K35.8"/>
    <x v="34"/>
    <d v="2024-09-29T00:00:00"/>
    <n v="907177"/>
    <n v="0"/>
    <s v="Rejected"/>
    <s v="Duplicate Claim"/>
    <s v="PR004"/>
    <n v="1"/>
    <m/>
    <s v="Recorded"/>
  </r>
  <r>
    <s v="CLM00144"/>
    <s v="P0144"/>
    <x v="0"/>
    <s v="Surulere Branch"/>
    <s v="Diagnostic Imaging"/>
    <s v="M54.5"/>
    <x v="21"/>
    <d v="2024-02-14T00:00:00"/>
    <n v="482467"/>
    <n v="0"/>
    <s v="Rejected"/>
    <s v="Service Not Covered"/>
    <s v="PR005"/>
    <n v="3"/>
    <m/>
    <s v="Recorded"/>
  </r>
  <r>
    <s v="CLM00149"/>
    <s v="P0149"/>
    <x v="1"/>
    <s v="Yaba Branch"/>
    <s v="Pharmacy"/>
    <s v="E11.9"/>
    <x v="107"/>
    <d v="2024-07-29T00:00:00"/>
    <n v="89581"/>
    <n v="0"/>
    <s v="Rejected"/>
    <s v="Service Not Covered"/>
    <s v="PR001"/>
    <n v="10"/>
    <m/>
    <s v="Recorded"/>
  </r>
  <r>
    <s v="CLM00009"/>
    <s v="P0009"/>
    <x v="1"/>
    <s v="Lekki Branch"/>
    <s v="Surgery"/>
    <s v="K35.8"/>
    <x v="108"/>
    <d v="2024-02-10T00:00:00"/>
    <n v="89390"/>
    <n v="60989"/>
    <s v="Partially Approved"/>
    <m/>
    <s v="PR014"/>
    <n v="20"/>
    <m/>
    <s v="Recorded"/>
  </r>
  <r>
    <s v="CLM00001"/>
    <s v="P0001"/>
    <x v="1"/>
    <s v="Lekki Branch"/>
    <s v="Surgery"/>
    <s v="S72.0"/>
    <x v="109"/>
    <m/>
    <n v="106702"/>
    <m/>
    <s v="Pending"/>
    <m/>
    <s v="PR001"/>
    <s v="Pending"/>
    <m/>
    <s v="Recorded"/>
  </r>
  <r>
    <s v="CLM00096"/>
    <s v="P0096"/>
    <x v="3"/>
    <s v="Apapa Branch"/>
    <s v="Pharmacy"/>
    <s v="E11.9"/>
    <x v="110"/>
    <d v="2024-07-27T00:00:00"/>
    <n v="869937"/>
    <n v="869937"/>
    <s v="Approved"/>
    <m/>
    <s v="PR012"/>
    <n v="14"/>
    <m/>
    <s v="Recorded"/>
  </r>
  <r>
    <s v="CLM00151"/>
    <s v="P0151"/>
    <x v="3"/>
    <s v="Ikeja Branch"/>
    <s v="Diagnostic Imaging"/>
    <s v="R91.8"/>
    <x v="111"/>
    <d v="2024-02-05T00:00:00"/>
    <n v="806772"/>
    <n v="806772"/>
    <s v="Approved"/>
    <m/>
    <s v="PR014"/>
    <n v="12"/>
    <m/>
    <s v="Recorded"/>
  </r>
  <r>
    <s v="CLM00202"/>
    <s v="P0202"/>
    <x v="1"/>
    <s v="Ikeja Branch"/>
    <s v="Outpatient Consultation"/>
    <s v="E11.9"/>
    <x v="112"/>
    <d v="2024-08-30T00:00:00"/>
    <n v="665347"/>
    <n v="665347"/>
    <s v="Approved"/>
    <m/>
    <s v="PR001"/>
    <n v="1"/>
    <m/>
    <s v="Recorded"/>
  </r>
  <r>
    <s v="CLM00123"/>
    <s v="P0123"/>
    <x v="3"/>
    <s v="Ikeja Branch"/>
    <s v="Diagnostic Imaging"/>
    <s v="M54.5"/>
    <x v="104"/>
    <d v="2024-03-22T00:00:00"/>
    <n v="584771"/>
    <n v="584771"/>
    <s v="Approved"/>
    <m/>
    <s v="PR011"/>
    <n v="21"/>
    <m/>
    <s v="Recorded"/>
  </r>
  <r>
    <s v="CLM00113"/>
    <s v="P0113"/>
    <x v="3"/>
    <s v="Yaba Branch"/>
    <s v="Inpatient Admission"/>
    <s v="J44.1"/>
    <x v="113"/>
    <d v="2024-06-24T00:00:00"/>
    <n v="841912"/>
    <n v="841912"/>
    <s v="Approved"/>
    <m/>
    <s v="PR002"/>
    <n v="16"/>
    <m/>
    <s v="Recorded"/>
  </r>
  <r>
    <s v="CLM00156"/>
    <s v="P0156"/>
    <x v="3"/>
    <s v="Yaba Branch"/>
    <s v="Surgery"/>
    <s v="S72.0"/>
    <x v="114"/>
    <d v="2024-10-16T00:00:00"/>
    <n v="757092"/>
    <n v="0"/>
    <s v="Rejected"/>
    <s v="Incomplete Documentation"/>
    <s v="PR005"/>
    <n v="14"/>
    <m/>
    <s v="Recorded"/>
  </r>
  <r>
    <s v="CLM00293"/>
    <s v="P0293"/>
    <x v="1"/>
    <s v="Yaba Branch"/>
    <s v="Inpatient Admission"/>
    <s v="I50.9"/>
    <x v="113"/>
    <d v="2024-06-21T00:00:00"/>
    <n v="140259"/>
    <n v="140259"/>
    <s v="Approved"/>
    <m/>
    <s v="PR007"/>
    <n v="13"/>
    <m/>
    <s v="Recorded"/>
  </r>
  <r>
    <s v="CLM00103"/>
    <s v="P0103"/>
    <x v="1"/>
    <s v="Yaba Branch"/>
    <s v="Surgery"/>
    <s v="K35.8"/>
    <x v="9"/>
    <d v="2024-11-07T00:00:00"/>
    <n v="418711"/>
    <n v="418711"/>
    <s v="Approved"/>
    <m/>
    <s v="PR002"/>
    <n v="6"/>
    <m/>
    <s v="Recorded"/>
  </r>
  <r>
    <s v="CLM00227"/>
    <s v="P0227"/>
    <x v="2"/>
    <s v="Ikeja Branch"/>
    <s v="Maternity"/>
    <s v="O82"/>
    <x v="115"/>
    <m/>
    <n v="109698"/>
    <m/>
    <s v="Pending"/>
    <m/>
    <s v="PR007"/>
    <s v="Pending"/>
    <m/>
    <s v="Recorded"/>
  </r>
  <r>
    <s v="CLM00212"/>
    <s v="P0212"/>
    <x v="1"/>
    <s v="Lekki Branch"/>
    <s v="Laboratory Test"/>
    <s v="R73.0"/>
    <x v="116"/>
    <d v="2024-07-12T00:00:00"/>
    <n v="588569"/>
    <n v="588569"/>
    <s v="Approved"/>
    <m/>
    <s v="PR004"/>
    <n v="16"/>
    <m/>
    <s v="Recorded"/>
  </r>
  <r>
    <s v="CLM00229"/>
    <s v="P0229"/>
    <x v="2"/>
    <s v="Yaba Branch"/>
    <s v="Inpatient Admission"/>
    <s v="J44.1"/>
    <x v="117"/>
    <d v="2024-02-04T00:00:00"/>
    <n v="588254"/>
    <n v="588254"/>
    <s v="Approved"/>
    <m/>
    <s v="PR003"/>
    <n v="5"/>
    <m/>
    <s v="Recorded"/>
  </r>
  <r>
    <s v="CLM00176"/>
    <s v="P0176"/>
    <x v="3"/>
    <s v="Ikeja Branch"/>
    <s v="Surgery"/>
    <s v="K35.8"/>
    <x v="118"/>
    <d v="2024-11-27T00:00:00"/>
    <n v="377229"/>
    <n v="0"/>
    <s v="Rejected"/>
    <s v="Pre-authorisation Missing"/>
    <s v="PR005"/>
    <n v="10"/>
    <m/>
    <s v="Recorded"/>
  </r>
  <r>
    <s v="CLM00037"/>
    <s v="P0037"/>
    <x v="1"/>
    <s v="Surulere Branch"/>
    <s v="Maternity"/>
    <s v="O82"/>
    <x v="119"/>
    <d v="2024-09-26T00:00:00"/>
    <n v="741183"/>
    <n v="416251"/>
    <s v="Partially Approved"/>
    <m/>
    <s v="PR015"/>
    <n v="10"/>
    <m/>
    <s v="Recorded"/>
  </r>
  <r>
    <s v="CLM00185"/>
    <s v="P0185"/>
    <x v="0"/>
    <s v="Apapa Branch"/>
    <s v="Inpatient Admission"/>
    <s v="J44.1"/>
    <x v="29"/>
    <d v="2024-12-20T00:00:00"/>
    <n v="827232"/>
    <n v="0"/>
    <s v="Rejected"/>
    <s v="Policy Expired"/>
    <s v="PR014"/>
    <n v="2"/>
    <m/>
    <s v="Recorded"/>
  </r>
  <r>
    <s v="CLM00077"/>
    <s v="P0077"/>
    <x v="3"/>
    <s v="Lekki Branch"/>
    <s v="Maternity"/>
    <s v="O82"/>
    <x v="120"/>
    <d v="2024-10-23T00:00:00"/>
    <n v="804129"/>
    <n v="804129"/>
    <s v="Approved"/>
    <m/>
    <s v="PR009"/>
    <n v="15"/>
    <m/>
    <s v="Recorded"/>
  </r>
  <r>
    <s v="CLM00041"/>
    <s v="P0041"/>
    <x v="1"/>
    <s v="Surulere Branch"/>
    <s v="Laboratory Test"/>
    <s v="R73.0"/>
    <x v="121"/>
    <d v="2024-04-22T00:00:00"/>
    <m/>
    <n v="765230"/>
    <s v="Approved"/>
    <m/>
    <s v="PR009"/>
    <n v="12"/>
    <m/>
    <s v="Missing"/>
  </r>
  <r>
    <s v="CLM00284"/>
    <s v="P0284"/>
    <x v="3"/>
    <s v="Lekki Branch"/>
    <s v="Inpatient Admission"/>
    <s v="N18.6"/>
    <x v="110"/>
    <d v="2024-07-31T00:00:00"/>
    <n v="423264"/>
    <n v="423264"/>
    <s v="Approved"/>
    <m/>
    <s v="PR006"/>
    <n v="18"/>
    <m/>
    <s v="Recorded"/>
  </r>
  <r>
    <s v="CLM00109"/>
    <s v="P0109"/>
    <x v="3"/>
    <s v="Surulere Branch"/>
    <s v="Pharmacy"/>
    <s v="E11.9"/>
    <x v="122"/>
    <d v="2024-08-26T00:00:00"/>
    <n v="50322"/>
    <n v="37159"/>
    <s v="Partially Approved"/>
    <m/>
    <s v="PR004"/>
    <n v="9"/>
    <m/>
    <s v="Recorded"/>
  </r>
  <r>
    <s v="CLM00127"/>
    <s v="P0127"/>
    <x v="3"/>
    <s v="Ikeja Branch"/>
    <s v="Diagnostic Imaging"/>
    <s v="R91.8"/>
    <x v="123"/>
    <d v="2024-03-01T00:00:00"/>
    <n v="336965"/>
    <n v="232107"/>
    <s v="Partially Approved"/>
    <m/>
    <s v="PR013"/>
    <n v="18"/>
    <m/>
    <s v="Recorded"/>
  </r>
  <r>
    <s v="CLM00056"/>
    <s v="P0056"/>
    <x v="0"/>
    <s v="Apapa Branch"/>
    <s v="Outpatient Consultation"/>
    <s v="I10"/>
    <x v="88"/>
    <d v="2024-01-15T00:00:00"/>
    <n v="252118"/>
    <n v="252118"/>
    <s v="Approved"/>
    <m/>
    <s v="PR009"/>
    <n v="3"/>
    <m/>
    <s v="Recorded"/>
  </r>
  <r>
    <s v="CLM00013"/>
    <s v="P0013"/>
    <x v="2"/>
    <s v="Lekki Branch"/>
    <s v="Surgery"/>
    <s v="K35.8"/>
    <x v="124"/>
    <d v="2024-09-29T00:00:00"/>
    <n v="429154"/>
    <n v="429154"/>
    <s v="Approved"/>
    <m/>
    <s v="PR003"/>
    <n v="18"/>
    <m/>
    <s v="Recorded"/>
  </r>
  <r>
    <s v="CLM00273"/>
    <s v="P0273"/>
    <x v="1"/>
    <s v="Yaba Branch"/>
    <s v="Pharmacy"/>
    <s v="I10"/>
    <x v="125"/>
    <d v="2024-12-06T00:00:00"/>
    <n v="863808"/>
    <n v="863808"/>
    <s v="Approved"/>
    <m/>
    <s v="PR015"/>
    <n v="17"/>
    <m/>
    <s v="Recorded"/>
  </r>
  <r>
    <s v="CLM00225"/>
    <s v="P0225"/>
    <x v="3"/>
    <s v="Ikeja Branch"/>
    <s v="Surgery"/>
    <s v="K35.8"/>
    <x v="15"/>
    <d v="2024-07-25T00:00:00"/>
    <n v="401198"/>
    <n v="401198"/>
    <s v="Approved"/>
    <m/>
    <s v="PR008"/>
    <n v="16"/>
    <m/>
    <s v="Recorded"/>
  </r>
  <r>
    <s v="CLM00207"/>
    <s v="P0207"/>
    <x v="1"/>
    <s v="Apapa Branch"/>
    <s v="Diagnostic Imaging"/>
    <s v="M54.5"/>
    <x v="126"/>
    <d v="2024-09-10T00:00:00"/>
    <n v="159945"/>
    <n v="0"/>
    <s v="Rejected"/>
    <s v="Incomplete Documentation"/>
    <s v="PR011"/>
    <n v="13"/>
    <m/>
    <s v="Recorded"/>
  </r>
  <r>
    <s v="CLM00011"/>
    <s v="P0011"/>
    <x v="3"/>
    <s v="Ikeja Branch"/>
    <s v="Outpatient Consultation"/>
    <s v="E11.9"/>
    <x v="127"/>
    <d v="2025-01-09T00:00:00"/>
    <n v="722328"/>
    <n v="722328"/>
    <s v="Approved"/>
    <m/>
    <s v="PR007"/>
    <n v="15"/>
    <m/>
    <s v="Recorded"/>
  </r>
  <r>
    <s v="CLM00015"/>
    <s v="P0015"/>
    <x v="2"/>
    <s v="Lekki Branch"/>
    <s v="Outpatient Consultation"/>
    <s v="I10"/>
    <x v="99"/>
    <d v="2024-11-02T00:00:00"/>
    <n v="12292"/>
    <n v="12292"/>
    <s v="Approved"/>
    <m/>
    <s v="PR006"/>
    <n v="5"/>
    <m/>
    <s v="Recorded"/>
  </r>
  <r>
    <s v="CLM00062"/>
    <s v="P0062"/>
    <x v="1"/>
    <s v="Ikeja Branch"/>
    <s v="Pharmacy"/>
    <s v="I10"/>
    <x v="128"/>
    <d v="2024-05-04T00:00:00"/>
    <n v="223186"/>
    <n v="0"/>
    <s v="Rejected"/>
    <s v="Duplicate Claim"/>
    <s v="PR007"/>
    <n v="4"/>
    <m/>
    <s v="Recorded"/>
  </r>
  <r>
    <s v="CLM00191"/>
    <s v="P0191"/>
    <x v="2"/>
    <s v="Ikeja Branch"/>
    <s v="Inpatient Admission"/>
    <s v="J44.1"/>
    <x v="129"/>
    <d v="2024-08-02T00:00:00"/>
    <n v="363054"/>
    <n v="0"/>
    <s v="Rejected"/>
    <s v="Pre-authorisation Missing"/>
    <s v="PR013"/>
    <n v="2"/>
    <m/>
    <s v="Recorded"/>
  </r>
  <r>
    <s v="CLM00163"/>
    <s v="P0163"/>
    <x v="0"/>
    <s v="Surulere Branch"/>
    <s v="Diagnostic Imaging"/>
    <s v="M54.5"/>
    <x v="130"/>
    <d v="2024-11-13T00:00:00"/>
    <n v="492460"/>
    <n v="492460"/>
    <s v="Approved"/>
    <m/>
    <s v="PR004"/>
    <n v="21"/>
    <m/>
    <s v="Recorded"/>
  </r>
  <r>
    <s v="CLM00142"/>
    <s v="P0142"/>
    <x v="3"/>
    <s v="Ikeja Branch"/>
    <s v="Maternity"/>
    <s v="O80"/>
    <x v="131"/>
    <d v="2024-04-03T00:00:00"/>
    <n v="645621"/>
    <n v="645621"/>
    <s v="Approved"/>
    <m/>
    <s v="PR011"/>
    <n v="21"/>
    <m/>
    <s v="Recorded"/>
  </r>
  <r>
    <s v="CLM00035"/>
    <s v="P0035"/>
    <x v="3"/>
    <s v="Apapa Branch"/>
    <s v="Maternity"/>
    <s v="O82"/>
    <x v="51"/>
    <d v="2024-03-05T00:00:00"/>
    <n v="67582"/>
    <n v="28671"/>
    <s v="Partially Approved"/>
    <m/>
    <s v="PR002"/>
    <n v="10"/>
    <m/>
    <s v="Recorded"/>
  </r>
  <r>
    <s v="CLM00289"/>
    <s v="P0289"/>
    <x v="1"/>
    <s v="Lekki Branch"/>
    <s v="Inpatient Admission"/>
    <s v="N18.6"/>
    <x v="132"/>
    <d v="2024-12-31T00:00:00"/>
    <n v="281426"/>
    <n v="281426"/>
    <s v="Approved"/>
    <m/>
    <s v="PR010"/>
    <n v="20"/>
    <m/>
    <s v="Recorded"/>
  </r>
  <r>
    <s v="CLM00059"/>
    <s v="P0059"/>
    <x v="1"/>
    <s v="Apapa Branch"/>
    <s v="Pharmacy"/>
    <s v="E11.9"/>
    <x v="13"/>
    <d v="2024-12-29T00:00:00"/>
    <n v="944199"/>
    <n v="0"/>
    <s v="Rejected"/>
    <s v="Service Not Covered"/>
    <s v="PR001"/>
    <n v="12"/>
    <m/>
    <s v="Recorded"/>
  </r>
  <r>
    <s v="CLM00082"/>
    <s v="P0082"/>
    <x v="3"/>
    <s v="Surulere Branch"/>
    <s v="Maternity"/>
    <s v="O82"/>
    <x v="63"/>
    <d v="2024-01-16T00:00:00"/>
    <n v="905017"/>
    <n v="905017"/>
    <s v="Approved"/>
    <m/>
    <s v="PR004"/>
    <n v="15"/>
    <m/>
    <s v="Recorded"/>
  </r>
  <r>
    <s v="CLM00254"/>
    <s v="P0254"/>
    <x v="3"/>
    <s v="Apapa Branch"/>
    <s v="Maternity"/>
    <s v="O82"/>
    <x v="80"/>
    <d v="2024-02-28T00:00:00"/>
    <n v="163616"/>
    <n v="163616"/>
    <s v="Approved"/>
    <m/>
    <s v="PR003"/>
    <n v="15"/>
    <m/>
    <s v="Recorded"/>
  </r>
  <r>
    <s v="CLM00206"/>
    <s v="P0206"/>
    <x v="1"/>
    <s v="Ikeja Branch"/>
    <s v="Surgery"/>
    <s v="K35.8"/>
    <x v="113"/>
    <d v="2024-06-22T00:00:00"/>
    <n v="182060"/>
    <n v="0"/>
    <s v="Rejected"/>
    <s v="Duplicate Claim"/>
    <s v="PR006"/>
    <n v="14"/>
    <m/>
    <s v="Recorded"/>
  </r>
  <r>
    <s v="CLM00246"/>
    <s v="P0246"/>
    <x v="1"/>
    <s v="Yaba Branch"/>
    <s v="Outpatient Consultation"/>
    <s v="J45.0"/>
    <x v="133"/>
    <d v="2024-03-22T00:00:00"/>
    <n v="575906"/>
    <n v="575906"/>
    <s v="Approved"/>
    <m/>
    <s v="PR004"/>
    <n v="19"/>
    <m/>
    <s v="Recorded"/>
  </r>
  <r>
    <s v="CLM00098"/>
    <s v="P0098"/>
    <x v="2"/>
    <s v="Surulere Branch"/>
    <s v="Outpatient Consultation"/>
    <s v="I10"/>
    <x v="105"/>
    <d v="2024-01-25T00:00:00"/>
    <n v="277500"/>
    <n v="277500"/>
    <s v="Approved"/>
    <m/>
    <s v="PR015"/>
    <n v="7"/>
    <m/>
    <s v="Recorded"/>
  </r>
  <r>
    <s v="CLM00267"/>
    <s v="P0267"/>
    <x v="1"/>
    <s v="Lekki Branch"/>
    <s v="Outpatient Consultation"/>
    <s v="I10"/>
    <x v="134"/>
    <d v="2024-06-26T00:00:00"/>
    <n v="645623"/>
    <n v="464252"/>
    <s v="Partially Approved"/>
    <m/>
    <s v="PR007"/>
    <n v="12"/>
    <m/>
    <s v="Recorded"/>
  </r>
  <r>
    <s v="CLM00249"/>
    <s v="P0249"/>
    <x v="1"/>
    <s v="Surulere Branch"/>
    <s v="Pharmacy"/>
    <s v="I10"/>
    <x v="3"/>
    <m/>
    <n v="64154"/>
    <m/>
    <s v="Pending"/>
    <m/>
    <s v="PR003"/>
    <s v="Pending"/>
    <m/>
    <s v="Recorded"/>
  </r>
  <r>
    <s v="CLM00120"/>
    <s v="P0120"/>
    <x v="3"/>
    <s v="Surulere Branch"/>
    <s v="Laboratory Test"/>
    <s v="Z00.0"/>
    <x v="39"/>
    <d v="2024-12-01T00:00:00"/>
    <n v="414737"/>
    <n v="142315"/>
    <s v="Partially Approved"/>
    <m/>
    <s v="PR014"/>
    <n v="24"/>
    <m/>
    <s v="Recorded"/>
  </r>
  <r>
    <s v="CLM00027"/>
    <s v="P0027"/>
    <x v="0"/>
    <s v="Apapa Branch"/>
    <s v="Maternity"/>
    <s v="O80"/>
    <x v="135"/>
    <d v="2024-09-06T00:00:00"/>
    <n v="368717"/>
    <n v="258036"/>
    <s v="Partially Approved"/>
    <m/>
    <s v="PR002"/>
    <n v="4"/>
    <m/>
    <s v="Recorded"/>
  </r>
  <r>
    <s v="CLM00222"/>
    <s v="P0222"/>
    <x v="3"/>
    <s v="Apapa Branch"/>
    <s v="Surgery"/>
    <s v="S72.0"/>
    <x v="122"/>
    <m/>
    <n v="396928"/>
    <m/>
    <s v="Pending"/>
    <m/>
    <s v="PR012"/>
    <s v="Pending"/>
    <m/>
    <s v="Recorded"/>
  </r>
  <r>
    <s v="CLM00135"/>
    <s v="P0135"/>
    <x v="3"/>
    <s v="Yaba Branch"/>
    <s v="Pharmacy"/>
    <s v="I10"/>
    <x v="136"/>
    <d v="2024-06-17T00:00:00"/>
    <n v="920572"/>
    <n v="0"/>
    <s v="Rejected"/>
    <s v="Pre-authorisation Missing"/>
    <s v="PR012"/>
    <n v="10"/>
    <m/>
    <s v="Recorded"/>
  </r>
  <r>
    <s v="CLM00164"/>
    <s v="P0164"/>
    <x v="1"/>
    <s v="Lekki Branch"/>
    <s v="Laboratory Test"/>
    <s v="R73.0"/>
    <x v="137"/>
    <m/>
    <n v="655319"/>
    <m/>
    <s v="Pending"/>
    <m/>
    <s v="PR003"/>
    <s v="Pending"/>
    <m/>
    <s v="Recorded"/>
  </r>
  <r>
    <s v="CLM00278"/>
    <s v="P0278"/>
    <x v="1"/>
    <s v="Ikeja Branch"/>
    <s v="Outpatient Consultation"/>
    <s v="J45.0"/>
    <x v="138"/>
    <d v="2024-02-23T00:00:00"/>
    <n v="522249"/>
    <n v="522249"/>
    <s v="Approved"/>
    <m/>
    <s v="PR013"/>
    <n v="15"/>
    <m/>
    <s v="Recorded"/>
  </r>
  <r>
    <s v="CLM00095"/>
    <s v="P0095"/>
    <x v="1"/>
    <s v="Yaba Branch"/>
    <s v="Surgery"/>
    <s v="S72.0"/>
    <x v="139"/>
    <d v="2024-03-08T00:00:00"/>
    <n v="92686"/>
    <n v="92686"/>
    <s v="Approved"/>
    <m/>
    <s v="PR015"/>
    <n v="12"/>
    <m/>
    <s v="Recorded"/>
  </r>
  <r>
    <s v="CLM00076"/>
    <s v="P0076"/>
    <x v="3"/>
    <s v="Yaba Branch"/>
    <s v="Surgery"/>
    <s v="S72.0"/>
    <x v="68"/>
    <d v="2024-06-07T00:00:00"/>
    <n v="421524"/>
    <n v="421524"/>
    <s v="Approved"/>
    <m/>
    <s v="PR003"/>
    <n v="4"/>
    <m/>
    <s v="Recorded"/>
  </r>
  <r>
    <s v="CLM00038"/>
    <s v="P0038"/>
    <x v="2"/>
    <s v="Surulere Branch"/>
    <s v="Inpatient Admission"/>
    <s v="N18.6"/>
    <x v="133"/>
    <d v="2024-03-11T00:00:00"/>
    <n v="84070"/>
    <n v="84070"/>
    <s v="Approved"/>
    <m/>
    <s v="PR004"/>
    <n v="8"/>
    <m/>
    <s v="Recorded"/>
  </r>
  <r>
    <s v="CLM00102"/>
    <s v="P0102"/>
    <x v="0"/>
    <s v="Lekki Branch"/>
    <s v="Outpatient Consultation"/>
    <s v="E11.9"/>
    <x v="140"/>
    <m/>
    <n v="818349"/>
    <m/>
    <s v="Pending"/>
    <m/>
    <s v="PR004"/>
    <s v="Pending"/>
    <m/>
    <s v="Recorded"/>
  </r>
  <r>
    <s v="CLM00007"/>
    <s v="P0007"/>
    <x v="1"/>
    <s v="Lekki Branch"/>
    <s v="Pharmacy"/>
    <s v="E11.9"/>
    <x v="141"/>
    <m/>
    <n v="93831"/>
    <m/>
    <s v="Pending"/>
    <m/>
    <s v="PR009"/>
    <s v="Pending"/>
    <m/>
    <s v="Recorded"/>
  </r>
  <r>
    <s v="CLM00008"/>
    <s v="P0008"/>
    <x v="0"/>
    <s v="Yaba Branch"/>
    <s v="Diagnostic Imaging"/>
    <s v="M54.5"/>
    <x v="142"/>
    <d v="2024-05-29T00:00:00"/>
    <n v="84756"/>
    <n v="0"/>
    <s v="Rejected"/>
    <s v="Policy Expired"/>
    <s v="PR013"/>
    <n v="2"/>
    <m/>
    <s v="Recorded"/>
  </r>
  <r>
    <s v="CLM00036"/>
    <s v="P0036"/>
    <x v="1"/>
    <s v="Surulere Branch"/>
    <s v="Maternity"/>
    <s v="O80"/>
    <x v="93"/>
    <d v="2024-02-22T00:00:00"/>
    <n v="538110"/>
    <n v="538110"/>
    <s v="Approved"/>
    <m/>
    <s v="PR012"/>
    <n v="20"/>
    <m/>
    <s v="Recorded"/>
  </r>
  <r>
    <s v="CLM00021"/>
    <s v="P0021"/>
    <x v="3"/>
    <s v="Yaba Branch"/>
    <s v="Diagnostic Imaging"/>
    <s v="M54.5"/>
    <x v="135"/>
    <m/>
    <n v="177280"/>
    <m/>
    <s v="Pending"/>
    <m/>
    <s v="PR004"/>
    <s v="Pending"/>
    <m/>
    <s v="Recorded"/>
  </r>
  <r>
    <s v="CLM00063"/>
    <s v="P0063"/>
    <x v="3"/>
    <s v="Surulere Branch"/>
    <s v="Diagnostic Imaging"/>
    <s v="M54.5"/>
    <x v="111"/>
    <d v="2024-01-28T00:00:00"/>
    <n v="681985"/>
    <n v="0"/>
    <s v="Rejected"/>
    <s v="Incomplete Documentation"/>
    <s v="PR006"/>
    <n v="4"/>
    <m/>
    <s v="Recorded"/>
  </r>
  <r>
    <s v="CLM00210"/>
    <s v="P0210"/>
    <x v="0"/>
    <s v="Surulere Branch"/>
    <s v="Diagnostic Imaging"/>
    <s v="M54.5"/>
    <x v="143"/>
    <m/>
    <n v="253737"/>
    <m/>
    <s v="Pending"/>
    <m/>
    <s v="PR005"/>
    <s v="Pending"/>
    <m/>
    <s v="Recorded"/>
  </r>
  <r>
    <s v="CLM00065"/>
    <s v="P0065"/>
    <x v="0"/>
    <s v="Yaba Branch"/>
    <s v="Diagnostic Imaging"/>
    <s v="M54.5"/>
    <x v="144"/>
    <d v="2024-09-12T00:00:00"/>
    <n v="945073"/>
    <n v="945073"/>
    <s v="Approved"/>
    <m/>
    <s v="PR002"/>
    <n v="18"/>
    <m/>
    <s v="Recorded"/>
  </r>
  <r>
    <s v="CLM00233"/>
    <s v="P0233"/>
    <x v="2"/>
    <s v="Ikeja Branch"/>
    <s v="Surgery"/>
    <s v="K35.8"/>
    <x v="129"/>
    <d v="2024-08-11T00:00:00"/>
    <n v="68274"/>
    <n v="48895"/>
    <s v="Partially Approved"/>
    <m/>
    <s v="PR011"/>
    <n v="11"/>
    <m/>
    <s v="Recorded"/>
  </r>
  <r>
    <s v="CLM00168"/>
    <s v="P0168"/>
    <x v="0"/>
    <s v="Lekki Branch"/>
    <s v="Maternity"/>
    <s v="O82"/>
    <x v="144"/>
    <d v="2024-09-07T00:00:00"/>
    <m/>
    <n v="641034"/>
    <s v="Approved"/>
    <m/>
    <s v="PR004"/>
    <n v="13"/>
    <m/>
    <s v="Missing"/>
  </r>
  <r>
    <s v="CLM00188"/>
    <s v="P0188"/>
    <x v="0"/>
    <s v="Lekki Branch"/>
    <s v="Surgery"/>
    <s v="S72.0"/>
    <x v="145"/>
    <d v="2024-10-04T00:00:00"/>
    <n v="778272"/>
    <n v="0"/>
    <s v="Rejected"/>
    <s v="Service Not Covered"/>
    <s v="PR008"/>
    <n v="1"/>
    <m/>
    <s v="Recorded"/>
  </r>
  <r>
    <s v="CLM00158"/>
    <s v="P0158"/>
    <x v="3"/>
    <s v="Lekki Branch"/>
    <s v="Surgery"/>
    <s v="K35.8"/>
    <x v="146"/>
    <d v="2024-09-27T00:00:00"/>
    <n v="305512"/>
    <n v="305512"/>
    <s v="Approved"/>
    <m/>
    <s v="PR004"/>
    <n v="7"/>
    <m/>
    <s v="Recorded"/>
  </r>
  <r>
    <s v="CLM00161"/>
    <s v="P0161"/>
    <x v="1"/>
    <s v="Apapa Branch"/>
    <s v="Inpatient Admission"/>
    <s v="N18.6"/>
    <x v="83"/>
    <d v="2024-12-06T00:00:00"/>
    <n v="141043"/>
    <n v="141043"/>
    <s v="Approved"/>
    <m/>
    <s v="PR012"/>
    <n v="18"/>
    <m/>
    <s v="Recorded"/>
  </r>
  <r>
    <s v="CLM00074"/>
    <s v="P0074"/>
    <x v="1"/>
    <s v="Apapa Branch"/>
    <s v="Inpatient Admission"/>
    <s v="J44.1"/>
    <x v="21"/>
    <d v="2024-02-26T00:00:00"/>
    <n v="438845"/>
    <n v="438845"/>
    <s v="Approved"/>
    <m/>
    <s v="PR003"/>
    <n v="15"/>
    <m/>
    <s v="Recorded"/>
  </r>
  <r>
    <s v="CLM00165"/>
    <s v="P0165"/>
    <x v="2"/>
    <s v="Yaba Branch"/>
    <s v="Maternity"/>
    <s v="O82"/>
    <x v="147"/>
    <d v="2024-03-27T00:00:00"/>
    <n v="279254"/>
    <n v="279254"/>
    <s v="Approved"/>
    <m/>
    <s v="PR011"/>
    <n v="4"/>
    <m/>
    <s v="Recorded"/>
  </r>
  <r>
    <s v="CLM00024"/>
    <s v="P0024"/>
    <x v="1"/>
    <s v="Lekki Branch"/>
    <s v="Maternity"/>
    <s v="O80"/>
    <x v="148"/>
    <m/>
    <n v="783813"/>
    <m/>
    <s v="Pending"/>
    <m/>
    <s v="PR004"/>
    <s v="Pending"/>
    <m/>
    <s v="Recorded"/>
  </r>
  <r>
    <s v="CLM00092"/>
    <s v="P0092"/>
    <x v="0"/>
    <s v="Surulere Branch"/>
    <s v="Diagnostic Imaging"/>
    <s v="R91.8"/>
    <x v="2"/>
    <d v="2024-11-07T00:00:00"/>
    <m/>
    <n v="64998"/>
    <s v="Approved"/>
    <m/>
    <s v="PR010"/>
    <n v="7"/>
    <m/>
    <s v="Missing"/>
  </r>
  <r>
    <s v="CLM00250"/>
    <s v="P0250"/>
    <x v="3"/>
    <s v="Yaba Branch"/>
    <s v="Inpatient Admission"/>
    <s v="N18.6"/>
    <x v="149"/>
    <d v="2024-12-07T00:00:00"/>
    <n v="390134"/>
    <n v="0"/>
    <s v="Rejected"/>
    <s v="Policy Expired"/>
    <s v="PR006"/>
    <n v="2"/>
    <m/>
    <s v="Recorded"/>
  </r>
  <r>
    <s v="CLM00083"/>
    <s v="P0083"/>
    <x v="3"/>
    <s v="Lekki Branch"/>
    <s v="Inpatient Admission"/>
    <s v="I50.9"/>
    <x v="35"/>
    <d v="2024-10-19T00:00:00"/>
    <n v="122179"/>
    <n v="94168"/>
    <s v="Partially Approved"/>
    <m/>
    <s v="PR014"/>
    <n v="25"/>
    <m/>
    <s v="Recorded"/>
  </r>
  <r>
    <s v="CLM00140"/>
    <s v="P0140"/>
    <x v="3"/>
    <s v="Ikeja Branch"/>
    <s v="Diagnostic Imaging"/>
    <s v="M54.5"/>
    <x v="2"/>
    <d v="2024-11-10T00:00:00"/>
    <n v="473310"/>
    <n v="0"/>
    <s v="Rejected"/>
    <s v="Policy Expired"/>
    <s v="PR004"/>
    <n v="10"/>
    <m/>
    <s v="Recorded"/>
  </r>
  <r>
    <s v="CLM00201"/>
    <s v="P0201"/>
    <x v="0"/>
    <s v="Surulere Branch"/>
    <s v="Outpatient Consultation"/>
    <s v="J45.0"/>
    <x v="33"/>
    <d v="2024-12-19T00:00:00"/>
    <n v="699428"/>
    <n v="699428"/>
    <s v="Approved"/>
    <m/>
    <s v="PR007"/>
    <n v="5"/>
    <m/>
    <s v="Recorded"/>
  </r>
  <r>
    <s v="CLM00049"/>
    <s v="P0049"/>
    <x v="1"/>
    <s v="Apapa Branch"/>
    <s v="Inpatient Admission"/>
    <s v="J44.1"/>
    <x v="150"/>
    <d v="2024-09-21T00:00:00"/>
    <n v="119444"/>
    <n v="119444"/>
    <s v="Approved"/>
    <m/>
    <s v="PR008"/>
    <n v="21"/>
    <m/>
    <s v="Recorded"/>
  </r>
  <r>
    <s v="CLM00205"/>
    <s v="P0205"/>
    <x v="0"/>
    <s v="Surulere Branch"/>
    <s v="Diagnostic Imaging"/>
    <s v="M54.5"/>
    <x v="151"/>
    <d v="2024-01-28T00:00:00"/>
    <n v="19954"/>
    <n v="0"/>
    <s v="Rejected"/>
    <s v="Incomplete Documentation"/>
    <s v="PR011"/>
    <n v="1"/>
    <m/>
    <s v="Recorded"/>
  </r>
  <r>
    <s v="CLM00112"/>
    <s v="P0112"/>
    <x v="3"/>
    <s v="Lekki Branch"/>
    <s v="Laboratory Test"/>
    <s v="Z00.0"/>
    <x v="152"/>
    <d v="2024-11-16T00:00:00"/>
    <n v="221324"/>
    <n v="0"/>
    <s v="Rejected"/>
    <s v="Incomplete Documentation"/>
    <s v="PR007"/>
    <n v="14"/>
    <m/>
    <s v="Recorded"/>
  </r>
  <r>
    <s v="CLM00126"/>
    <s v="P0126"/>
    <x v="0"/>
    <s v="Surulere Branch"/>
    <s v="Outpatient Consultation"/>
    <s v="J45.0"/>
    <x v="153"/>
    <d v="2024-03-21T00:00:00"/>
    <n v="104168"/>
    <n v="104168"/>
    <s v="Approved"/>
    <m/>
    <s v="PR011"/>
    <n v="15"/>
    <m/>
    <s v="Recorded"/>
  </r>
  <r>
    <s v="CLM00166"/>
    <s v="P0166"/>
    <x v="3"/>
    <s v="Lekki Branch"/>
    <s v="Surgery"/>
    <s v="S72.0"/>
    <x v="154"/>
    <m/>
    <n v="776913"/>
    <m/>
    <s v="Pending"/>
    <m/>
    <s v="PR005"/>
    <s v="Pending"/>
    <m/>
    <s v="Recorded"/>
  </r>
  <r>
    <s v="CLM00300"/>
    <s v="P0300"/>
    <x v="0"/>
    <s v="Surulere Branch"/>
    <s v="Diagnostic Imaging"/>
    <s v="R91.8"/>
    <x v="12"/>
    <d v="2024-06-07T00:00:00"/>
    <n v="452570"/>
    <n v="452570"/>
    <s v="Approved"/>
    <m/>
    <s v="PR012"/>
    <n v="15"/>
    <m/>
    <s v="Recorded"/>
  </r>
  <r>
    <s v="CLM00068"/>
    <s v="P0068"/>
    <x v="3"/>
    <s v="Apapa Branch"/>
    <s v="Laboratory Test"/>
    <s v="Z00.0"/>
    <x v="137"/>
    <d v="2025-01-11T00:00:00"/>
    <n v="949312"/>
    <n v="949312"/>
    <s v="Approved"/>
    <m/>
    <s v="PR003"/>
    <n v="16"/>
    <m/>
    <s v="Recorded"/>
  </r>
  <r>
    <s v="CLM00145"/>
    <s v="P0145"/>
    <x v="2"/>
    <s v="Ikeja Branch"/>
    <s v="Outpatient Consultation"/>
    <s v="I10"/>
    <x v="4"/>
    <d v="2024-12-31T00:00:00"/>
    <n v="284088"/>
    <n v="186316"/>
    <s v="Partially Approved"/>
    <m/>
    <s v="PR011"/>
    <n v="10"/>
    <m/>
    <s v="Recorded"/>
  </r>
  <r>
    <s v="CLM00190"/>
    <s v="P0190"/>
    <x v="3"/>
    <s v="Ikeja Branch"/>
    <s v="Outpatient Consultation"/>
    <s v="E11.9"/>
    <x v="111"/>
    <d v="2024-02-06T00:00:00"/>
    <n v="354508"/>
    <n v="0"/>
    <s v="Rejected"/>
    <s v="Incomplete Documentation"/>
    <s v="PR008"/>
    <n v="13"/>
    <m/>
    <s v="Recorded"/>
  </r>
  <r>
    <s v="CLM00085"/>
    <s v="P0085"/>
    <x v="3"/>
    <s v="Yaba Branch"/>
    <s v="Inpatient Admission"/>
    <s v="J44.1"/>
    <x v="155"/>
    <d v="2024-05-12T00:00:00"/>
    <n v="740516"/>
    <n v="740516"/>
    <s v="Approved"/>
    <m/>
    <s v="PR005"/>
    <n v="4"/>
    <m/>
    <s v="Recorded"/>
  </r>
  <r>
    <s v="CLM00281"/>
    <s v="P0281"/>
    <x v="1"/>
    <s v="Ikeja Branch"/>
    <s v="Surgery"/>
    <s v="S72.0"/>
    <x v="156"/>
    <d v="2024-11-19T00:00:00"/>
    <n v="54115"/>
    <n v="54115"/>
    <s v="Approved"/>
    <m/>
    <s v="PR014"/>
    <n v="6"/>
    <m/>
    <s v="Recorded"/>
  </r>
  <r>
    <s v="CLM00192"/>
    <s v="P0192"/>
    <x v="1"/>
    <s v="Apapa Branch"/>
    <s v="Pharmacy"/>
    <s v="E11.9"/>
    <x v="157"/>
    <d v="2024-06-12T00:00:00"/>
    <n v="271792"/>
    <n v="271792"/>
    <s v="Approved"/>
    <m/>
    <s v="PR005"/>
    <n v="18"/>
    <m/>
    <s v="Recorded"/>
  </r>
  <r>
    <s v="CLM00022"/>
    <s v="P0022"/>
    <x v="1"/>
    <s v="Yaba Branch"/>
    <s v="Inpatient Admission"/>
    <s v="J44.1"/>
    <x v="158"/>
    <d v="2024-10-27T00:00:00"/>
    <n v="802970"/>
    <n v="452919"/>
    <s v="Partially Approved"/>
    <m/>
    <s v="PR012"/>
    <n v="22"/>
    <m/>
    <s v="Recorded"/>
  </r>
  <r>
    <s v="CLM00242"/>
    <s v="P0242"/>
    <x v="3"/>
    <s v="Surulere Branch"/>
    <s v="Maternity"/>
    <s v="O80"/>
    <x v="159"/>
    <d v="2024-06-16T00:00:00"/>
    <m/>
    <n v="423936"/>
    <s v="Partially Approved"/>
    <m/>
    <s v="PR013"/>
    <n v="18"/>
    <m/>
    <s v="Missing"/>
  </r>
  <r>
    <s v="CLM00193"/>
    <s v="P0193"/>
    <x v="1"/>
    <s v="Yaba Branch"/>
    <s v="Pharmacy"/>
    <s v="I10"/>
    <x v="87"/>
    <d v="2024-08-11T00:00:00"/>
    <n v="923369"/>
    <n v="923369"/>
    <s v="Approved"/>
    <m/>
    <s v="PR004"/>
    <n v="17"/>
    <m/>
    <s v="Recorded"/>
  </r>
  <r>
    <s v="CLM00226"/>
    <s v="P0226"/>
    <x v="2"/>
    <s v="Lekki Branch"/>
    <s v="Diagnostic Imaging"/>
    <s v="R91.8"/>
    <x v="160"/>
    <d v="2024-09-09T00:00:00"/>
    <n v="212581"/>
    <n v="0"/>
    <s v="Rejected"/>
    <s v="Incomplete Documentation"/>
    <s v="PR014"/>
    <n v="13"/>
    <m/>
    <s v="Recorded"/>
  </r>
  <r>
    <s v="CLM00003"/>
    <s v="P0003"/>
    <x v="1"/>
    <s v="Ikeja Branch"/>
    <s v="Inpatient Admission"/>
    <s v="J44.1"/>
    <x v="118"/>
    <d v="2024-11-27T00:00:00"/>
    <n v="72867"/>
    <n v="0"/>
    <s v="Rejected"/>
    <s v="Policy Expired"/>
    <s v="PR004"/>
    <n v="10"/>
    <m/>
    <s v="Recorded"/>
  </r>
  <r>
    <s v="CLM00240"/>
    <s v="P0240"/>
    <x v="1"/>
    <s v="Ikeja Branch"/>
    <s v="Inpatient Admission"/>
    <s v="J44.1"/>
    <x v="15"/>
    <d v="2024-07-10T00:00:00"/>
    <n v="907754"/>
    <n v="0"/>
    <s v="Rejected"/>
    <s v="Pre-authorisation Missing"/>
    <s v="PR008"/>
    <n v="1"/>
    <m/>
    <s v="Recorded"/>
  </r>
  <r>
    <s v="CLM00019"/>
    <s v="P0019"/>
    <x v="1"/>
    <s v="Apapa Branch"/>
    <s v="Outpatient Consultation"/>
    <s v="J45.0"/>
    <x v="161"/>
    <d v="2024-04-27T00:00:00"/>
    <n v="163766"/>
    <n v="0"/>
    <s v="Rejected"/>
    <s v="Pre-authorisation Missing"/>
    <s v="PR010"/>
    <n v="11"/>
    <m/>
    <s v="Recorded"/>
  </r>
  <r>
    <s v="CLM00143"/>
    <s v="P0143"/>
    <x v="0"/>
    <s v="Apapa Branch"/>
    <s v="Inpatient Admission"/>
    <s v="J44.1"/>
    <x v="136"/>
    <d v="2024-06-23T00:00:00"/>
    <n v="58846"/>
    <n v="58846"/>
    <s v="Approved"/>
    <m/>
    <s v="PR001"/>
    <n v="16"/>
    <m/>
    <s v="Recorded"/>
  </r>
  <r>
    <s v="CLM00044"/>
    <s v="P0044"/>
    <x v="3"/>
    <s v="Yaba Branch"/>
    <s v="Surgery"/>
    <s v="S72.0"/>
    <x v="97"/>
    <d v="2024-10-13T00:00:00"/>
    <n v="606312"/>
    <n v="331838"/>
    <s v="Partially Approved"/>
    <m/>
    <s v="PR001"/>
    <n v="12"/>
    <m/>
    <s v="Recorded"/>
  </r>
  <r>
    <s v="CLM00245"/>
    <s v="P0245"/>
    <x v="3"/>
    <s v="Surulere Branch"/>
    <s v="Outpatient Consultation"/>
    <s v="I10"/>
    <x v="162"/>
    <d v="2024-02-23T00:00:00"/>
    <n v="55364"/>
    <n v="0"/>
    <s v="Rejected"/>
    <s v="Incomplete Documentation"/>
    <s v="PR010"/>
    <n v="5"/>
    <m/>
    <s v="Recorded"/>
  </r>
  <r>
    <s v="CLM00243"/>
    <s v="P0243"/>
    <x v="1"/>
    <s v="Lekki Branch"/>
    <s v="Outpatient Consultation"/>
    <s v="J45.0"/>
    <x v="5"/>
    <d v="2024-02-19T00:00:00"/>
    <n v="184035"/>
    <n v="184035"/>
    <s v="Approved"/>
    <m/>
    <s v="PR009"/>
    <n v="4"/>
    <m/>
    <s v="Recorded"/>
  </r>
  <r>
    <s v="CLM00146"/>
    <s v="P0146"/>
    <x v="0"/>
    <s v="Apapa Branch"/>
    <s v="Laboratory Test"/>
    <s v="R73.0"/>
    <x v="163"/>
    <d v="2024-12-12T00:00:00"/>
    <m/>
    <n v="386280"/>
    <s v="Partially Approved"/>
    <m/>
    <s v="PR005"/>
    <n v="18"/>
    <m/>
    <s v="Missing"/>
  </r>
  <r>
    <s v="CLM00114"/>
    <s v="P0114"/>
    <x v="0"/>
    <s v="Ikeja Branch"/>
    <s v="Pharmacy"/>
    <s v="I10"/>
    <x v="149"/>
    <d v="2024-12-14T00:00:00"/>
    <n v="678230"/>
    <n v="0"/>
    <s v="Rejected"/>
    <s v="Incomplete Documentation"/>
    <s v="PR007"/>
    <n v="9"/>
    <m/>
    <s v="Recorded"/>
  </r>
  <r>
    <s v="CLM00288"/>
    <s v="P0288"/>
    <x v="2"/>
    <s v="Lekki Branch"/>
    <s v="Laboratory Test"/>
    <s v="R73.0"/>
    <x v="164"/>
    <d v="2024-05-01T00:00:00"/>
    <n v="403201"/>
    <n v="0"/>
    <s v="Rejected"/>
    <s v="Policy Expired"/>
    <s v="PR008"/>
    <n v="11"/>
    <m/>
    <s v="Recorded"/>
  </r>
  <r>
    <s v="CLM00042"/>
    <s v="P0042"/>
    <x v="0"/>
    <s v="Surulere Branch"/>
    <s v="Diagnostic Imaging"/>
    <s v="R91.8"/>
    <x v="62"/>
    <d v="2024-08-01T00:00:00"/>
    <n v="317806"/>
    <n v="317806"/>
    <s v="Approved"/>
    <m/>
    <s v="PR002"/>
    <n v="17"/>
    <m/>
    <s v="Recorded"/>
  </r>
  <r>
    <s v="CLM00234"/>
    <s v="P0234"/>
    <x v="3"/>
    <s v="Surulere Branch"/>
    <s v="Pharmacy"/>
    <s v="I10"/>
    <x v="165"/>
    <d v="2024-10-05T00:00:00"/>
    <n v="835918"/>
    <n v="835918"/>
    <s v="Approved"/>
    <m/>
    <s v="PR006"/>
    <n v="17"/>
    <m/>
    <s v="Recorded"/>
  </r>
  <r>
    <s v="CLM00115"/>
    <s v="P0115"/>
    <x v="3"/>
    <s v="Yaba Branch"/>
    <s v="Surgery"/>
    <s v="K35.8"/>
    <x v="166"/>
    <d v="2024-12-26T00:00:00"/>
    <n v="335535"/>
    <n v="335535"/>
    <s v="Approved"/>
    <m/>
    <s v="PR007"/>
    <n v="19"/>
    <m/>
    <s v="Recorded"/>
  </r>
  <r>
    <s v="CLM00256"/>
    <s v="P0256"/>
    <x v="1"/>
    <s v="Apapa Branch"/>
    <s v="Inpatient Admission"/>
    <s v="J44.1"/>
    <x v="56"/>
    <d v="2024-07-31T00:00:00"/>
    <n v="392632"/>
    <n v="392632"/>
    <s v="Approved"/>
    <m/>
    <s v="PR005"/>
    <n v="15"/>
    <m/>
    <s v="Recorded"/>
  </r>
  <r>
    <s v="CLM00265"/>
    <s v="P0265"/>
    <x v="3"/>
    <s v="Yaba Branch"/>
    <s v="Laboratory Test"/>
    <s v="R73.0"/>
    <x v="107"/>
    <d v="2024-08-09T00:00:00"/>
    <n v="411178"/>
    <n v="411178"/>
    <s v="Approved"/>
    <m/>
    <s v="PR013"/>
    <n v="21"/>
    <m/>
    <s v="Recorded"/>
  </r>
  <r>
    <s v="CLM00029"/>
    <s v="P0029"/>
    <x v="0"/>
    <s v="Surulere Branch"/>
    <s v="Surgery"/>
    <s v="S72.0"/>
    <x v="89"/>
    <d v="2024-03-27T00:00:00"/>
    <n v="36887"/>
    <n v="36887"/>
    <s v="Approved"/>
    <m/>
    <s v="PR008"/>
    <n v="5"/>
    <m/>
    <s v="Recorded"/>
  </r>
  <r>
    <s v="CLM00051"/>
    <s v="P0051"/>
    <x v="3"/>
    <s v="Lekki Branch"/>
    <s v="Surgery"/>
    <s v="K35.8"/>
    <x v="167"/>
    <m/>
    <n v="22947"/>
    <m/>
    <s v="Pending"/>
    <m/>
    <s v="PR012"/>
    <s v="Pending"/>
    <m/>
    <s v="Recorded"/>
  </r>
  <r>
    <s v="CLM00078"/>
    <s v="P0078"/>
    <x v="2"/>
    <s v="Lekki Branch"/>
    <s v="Outpatient Consultation"/>
    <s v="J45.0"/>
    <x v="168"/>
    <d v="2024-06-28T00:00:00"/>
    <n v="342797"/>
    <n v="0"/>
    <s v="Rejected"/>
    <s v="Pre-authorisation Missing"/>
    <s v="PR010"/>
    <n v="4"/>
    <m/>
    <s v="Recorded"/>
  </r>
  <r>
    <s v="CLM00072"/>
    <s v="P0072"/>
    <x v="3"/>
    <s v="Yaba Branch"/>
    <s v="Outpatient Consultation"/>
    <s v="J45.0"/>
    <x v="169"/>
    <d v="2024-12-13T00:00:00"/>
    <n v="269435"/>
    <n v="269435"/>
    <s v="Approved"/>
    <m/>
    <s v="PR006"/>
    <n v="9"/>
    <m/>
    <s v="Recorded"/>
  </r>
  <r>
    <s v="CLM00230"/>
    <s v="P0230"/>
    <x v="1"/>
    <s v="Surulere Branch"/>
    <s v="Surgery"/>
    <s v="S72.0"/>
    <x v="74"/>
    <d v="2024-03-30T00:00:00"/>
    <n v="888345"/>
    <n v="888345"/>
    <s v="Approved"/>
    <m/>
    <s v="PR003"/>
    <n v="10"/>
    <m/>
    <s v="Recorded"/>
  </r>
  <r>
    <s v="CLM00016"/>
    <s v="P0016"/>
    <x v="1"/>
    <s v="Apapa Branch"/>
    <s v="Laboratory Test"/>
    <s v="Z00.0"/>
    <x v="170"/>
    <d v="2025-01-13T00:00:00"/>
    <n v="655592"/>
    <n v="411372"/>
    <s v="Partially Approved"/>
    <m/>
    <s v="PR015"/>
    <n v="25"/>
    <m/>
    <s v="Recorded"/>
  </r>
  <r>
    <s v="CLM00012"/>
    <s v="P0012"/>
    <x v="3"/>
    <s v="Yaba Branch"/>
    <s v="Outpatient Consultation"/>
    <s v="I10"/>
    <x v="16"/>
    <d v="2024-07-02T00:00:00"/>
    <n v="525674"/>
    <n v="525674"/>
    <s v="Approved"/>
    <m/>
    <s v="PR005"/>
    <n v="2"/>
    <m/>
    <s v="Recorded"/>
  </r>
  <r>
    <s v="CLM00272"/>
    <s v="P0272"/>
    <x v="3"/>
    <s v="Lekki Branch"/>
    <s v="Laboratory Test"/>
    <s v="R73.0"/>
    <x v="171"/>
    <d v="2024-07-13T00:00:00"/>
    <n v="874154"/>
    <n v="398015"/>
    <s v="Partially Approved"/>
    <m/>
    <s v="PR015"/>
    <n v="7"/>
    <m/>
    <s v="Recorded"/>
  </r>
  <r>
    <s v="CLM00125"/>
    <s v="P0125"/>
    <x v="3"/>
    <s v="Apapa Branch"/>
    <s v="Surgery"/>
    <s v="K35.8"/>
    <x v="128"/>
    <d v="2024-05-15T00:00:00"/>
    <n v="825862"/>
    <n v="825862"/>
    <s v="Approved"/>
    <m/>
    <s v="PR013"/>
    <n v="15"/>
    <m/>
    <s v="Recorded"/>
  </r>
  <r>
    <s v="CLM00093"/>
    <s v="P0093"/>
    <x v="2"/>
    <s v="Surulere Branch"/>
    <s v="Outpatient Consultation"/>
    <s v="E11.9"/>
    <x v="172"/>
    <d v="2024-02-11T00:00:00"/>
    <n v="949796"/>
    <n v="949796"/>
    <s v="Approved"/>
    <m/>
    <s v="PR002"/>
    <n v="11"/>
    <m/>
    <s v="Recorded"/>
  </r>
  <r>
    <s v="CLM00269"/>
    <s v="P0269"/>
    <x v="1"/>
    <s v="Apapa Branch"/>
    <s v="Diagnostic Imaging"/>
    <s v="M54.5"/>
    <x v="78"/>
    <d v="2024-07-30T00:00:00"/>
    <n v="631609"/>
    <n v="631609"/>
    <s v="Approved"/>
    <m/>
    <s v="PR001"/>
    <n v="12"/>
    <m/>
    <s v="Recorded"/>
  </r>
  <r>
    <s v="CLM00075"/>
    <s v="P0075"/>
    <x v="3"/>
    <s v="Yaba Branch"/>
    <s v="Surgery"/>
    <s v="S72.0"/>
    <x v="120"/>
    <d v="2024-10-19T00:00:00"/>
    <n v="443019"/>
    <n v="443019"/>
    <s v="Approved"/>
    <m/>
    <s v="PR005"/>
    <n v="11"/>
    <m/>
    <s v="Recorded"/>
  </r>
  <r>
    <s v="CLM00177"/>
    <s v="P0177"/>
    <x v="3"/>
    <s v="Surulere Branch"/>
    <s v="Maternity"/>
    <s v="O80"/>
    <x v="107"/>
    <d v="2024-07-22T00:00:00"/>
    <n v="143580"/>
    <n v="143580"/>
    <s v="Approved"/>
    <m/>
    <s v="PR011"/>
    <n v="3"/>
    <m/>
    <s v="Recorded"/>
  </r>
  <r>
    <s v="CLM00030"/>
    <s v="P0030"/>
    <x v="3"/>
    <s v="Lekki Branch"/>
    <s v="Maternity"/>
    <s v="O82"/>
    <x v="173"/>
    <d v="2024-12-08T00:00:00"/>
    <m/>
    <n v="98489"/>
    <s v="Partially Approved"/>
    <m/>
    <s v="PR013"/>
    <n v="6"/>
    <m/>
    <s v="Missing"/>
  </r>
  <r>
    <s v="CLM00053"/>
    <s v="P0053"/>
    <x v="1"/>
    <s v="Lekki Branch"/>
    <s v="Diagnostic Imaging"/>
    <s v="M54.5"/>
    <x v="111"/>
    <d v="2024-02-08T00:00:00"/>
    <m/>
    <n v="290105"/>
    <s v="Approved"/>
    <m/>
    <s v="PR006"/>
    <n v="15"/>
    <m/>
    <s v="Missing"/>
  </r>
  <r>
    <s v="CLM00213"/>
    <s v="P0213"/>
    <x v="3"/>
    <s v="Lekki Branch"/>
    <s v="Laboratory Test"/>
    <s v="Z00.0"/>
    <x v="174"/>
    <d v="2024-12-21T00:00:00"/>
    <n v="224621"/>
    <n v="224621"/>
    <s v="Approved"/>
    <m/>
    <s v="PR001"/>
    <n v="9"/>
    <m/>
    <s v="Recorded"/>
  </r>
  <r>
    <s v="CLM00277"/>
    <s v="P0277"/>
    <x v="1"/>
    <s v="Yaba Branch"/>
    <s v="Pharmacy"/>
    <s v="E11.9"/>
    <x v="175"/>
    <d v="2024-10-26T00:00:00"/>
    <n v="135403"/>
    <n v="135403"/>
    <s v="Approved"/>
    <m/>
    <s v="PR013"/>
    <n v="5"/>
    <m/>
    <s v="Recorded"/>
  </r>
  <r>
    <s v="CLM00197"/>
    <s v="P0197"/>
    <x v="3"/>
    <s v="Apapa Branch"/>
    <s v="Diagnostic Imaging"/>
    <s v="R91.8"/>
    <x v="176"/>
    <d v="2024-05-09T00:00:00"/>
    <n v="488121"/>
    <n v="488121"/>
    <s v="Approved"/>
    <m/>
    <s v="PR002"/>
    <n v="21"/>
    <m/>
    <s v="Recorded"/>
  </r>
  <r>
    <s v="CLM00215"/>
    <s v="P0215"/>
    <x v="1"/>
    <s v="Apapa Branch"/>
    <s v="Laboratory Test"/>
    <s v="R73.0"/>
    <x v="7"/>
    <d v="2024-09-08T00:00:00"/>
    <n v="206339"/>
    <n v="206339"/>
    <s v="Approved"/>
    <m/>
    <s v="PR003"/>
    <n v="7"/>
    <m/>
    <s v="Recorded"/>
  </r>
  <r>
    <s v="CLM00119"/>
    <s v="P0119"/>
    <x v="1"/>
    <s v="Lekki Branch"/>
    <s v="Maternity"/>
    <s v="O80"/>
    <x v="177"/>
    <d v="2024-02-11T00:00:00"/>
    <n v="798160"/>
    <n v="798160"/>
    <s v="Approved"/>
    <m/>
    <s v="PR014"/>
    <n v="7"/>
    <m/>
    <s v="Recorded"/>
  </r>
  <r>
    <s v="CLM00295"/>
    <s v="P0295"/>
    <x v="3"/>
    <s v="Surulere Branch"/>
    <s v="Inpatient Admission"/>
    <s v="N18.6"/>
    <x v="26"/>
    <d v="2024-07-04T00:00:00"/>
    <n v="110443"/>
    <n v="43164"/>
    <s v="Partially Approved"/>
    <m/>
    <s v="PR010"/>
    <n v="5"/>
    <m/>
    <s v="Recorded"/>
  </r>
  <r>
    <s v="CLM00268"/>
    <s v="P0268"/>
    <x v="3"/>
    <s v="Ikeja Branch"/>
    <s v="Outpatient Consultation"/>
    <s v="I10"/>
    <x v="178"/>
    <d v="2024-10-27T00:00:00"/>
    <n v="322382"/>
    <n v="245060"/>
    <s v="Partially Approved"/>
    <m/>
    <s v="PR007"/>
    <n v="11"/>
    <m/>
    <s v="Recorded"/>
  </r>
  <r>
    <s v="CLM00080"/>
    <s v="P0080"/>
    <x v="3"/>
    <s v="Surulere Branch"/>
    <s v="Laboratory Test"/>
    <s v="R73.0"/>
    <x v="179"/>
    <d v="2024-03-16T00:00:00"/>
    <n v="562933"/>
    <n v="0"/>
    <s v="Rejected"/>
    <s v="Service Not Covered"/>
    <s v="PR015"/>
    <n v="11"/>
    <m/>
    <s v="Recorded"/>
  </r>
  <r>
    <s v="CLM00282"/>
    <s v="P0282"/>
    <x v="2"/>
    <s v="Yaba Branch"/>
    <s v="Outpatient Consultation"/>
    <s v="I10"/>
    <x v="140"/>
    <d v="2024-06-20T00:00:00"/>
    <n v="937912"/>
    <n v="937912"/>
    <s v="Approved"/>
    <m/>
    <s v="PR002"/>
    <n v="16"/>
    <m/>
    <s v="Recorded"/>
  </r>
  <r>
    <s v="CLM00218"/>
    <s v="P0218"/>
    <x v="1"/>
    <s v="Yaba Branch"/>
    <s v="Maternity"/>
    <s v="O80"/>
    <x v="162"/>
    <d v="2024-03-08T00:00:00"/>
    <n v="517938"/>
    <n v="517938"/>
    <s v="Approved"/>
    <m/>
    <s v="PR005"/>
    <n v="19"/>
    <m/>
    <s v="Recorded"/>
  </r>
  <r>
    <s v="CLM00061"/>
    <s v="P0061"/>
    <x v="1"/>
    <s v="Ikeja Branch"/>
    <s v="Surgery"/>
    <s v="S72.0"/>
    <x v="180"/>
    <d v="2024-09-18T00:00:00"/>
    <n v="104408"/>
    <n v="65740"/>
    <s v="Partially Approved"/>
    <m/>
    <s v="PR008"/>
    <n v="4"/>
    <m/>
    <s v="Recorded"/>
  </r>
  <r>
    <s v="CLM00171"/>
    <s v="P0171"/>
    <x v="3"/>
    <s v="Lekki Branch"/>
    <s v="Laboratory Test"/>
    <s v="R73.0"/>
    <x v="181"/>
    <d v="2024-09-18T00:00:00"/>
    <n v="908241"/>
    <n v="908241"/>
    <s v="Approved"/>
    <m/>
    <s v="PR011"/>
    <n v="14"/>
    <m/>
    <s v="Recorded"/>
  </r>
  <r>
    <s v="CLM00270"/>
    <s v="P0270"/>
    <x v="3"/>
    <s v="Ikeja Branch"/>
    <s v="Maternity"/>
    <s v="O80"/>
    <x v="182"/>
    <d v="2024-03-12T00:00:00"/>
    <n v="428367"/>
    <n v="428367"/>
    <s v="Approved"/>
    <m/>
    <s v="PR010"/>
    <n v="21"/>
    <m/>
    <s v="Recorded"/>
  </r>
  <r>
    <s v="CLM00073"/>
    <s v="P0073"/>
    <x v="2"/>
    <s v="Yaba Branch"/>
    <s v="Pharmacy"/>
    <s v="I10"/>
    <x v="66"/>
    <m/>
    <n v="669542"/>
    <m/>
    <s v="Pending"/>
    <m/>
    <s v="PR015"/>
    <s v="Pending"/>
    <m/>
    <s v="Recorded"/>
  </r>
  <r>
    <s v="CLM00266"/>
    <s v="P0266"/>
    <x v="3"/>
    <s v="Surulere Branch"/>
    <s v="Surgery"/>
    <s v="K35.8"/>
    <x v="183"/>
    <d v="2024-06-07T00:00:00"/>
    <n v="849956"/>
    <n v="849956"/>
    <s v="Approved"/>
    <m/>
    <s v="PR007"/>
    <n v="5"/>
    <m/>
    <s v="Recorded"/>
  </r>
  <r>
    <s v="CLM00154"/>
    <s v="P0154"/>
    <x v="1"/>
    <s v="Surulere Branch"/>
    <s v="Laboratory Test"/>
    <s v="Z00.0"/>
    <x v="184"/>
    <d v="2024-07-10T00:00:00"/>
    <n v="58759"/>
    <n v="58759"/>
    <s v="Approved"/>
    <m/>
    <s v="PR013"/>
    <n v="12"/>
    <m/>
    <s v="Recorded"/>
  </r>
  <r>
    <s v="CLM00180"/>
    <s v="P0180"/>
    <x v="3"/>
    <s v="Yaba Branch"/>
    <s v="Surgery"/>
    <s v="S72.0"/>
    <x v="185"/>
    <d v="2024-09-12T00:00:00"/>
    <n v="845720"/>
    <n v="845720"/>
    <s v="Approved"/>
    <m/>
    <s v="PR011"/>
    <n v="9"/>
    <m/>
    <s v="Recorded"/>
  </r>
  <r>
    <s v="CLM00069"/>
    <s v="P0069"/>
    <x v="3"/>
    <s v="Surulere Branch"/>
    <s v="Diagnostic Imaging"/>
    <s v="M54.5"/>
    <x v="94"/>
    <d v="2024-08-07T00:00:00"/>
    <n v="444397"/>
    <n v="444397"/>
    <s v="Approved"/>
    <m/>
    <s v="PR002"/>
    <n v="12"/>
    <m/>
    <s v="Recorded"/>
  </r>
  <r>
    <s v="CLM00228"/>
    <s v="P0228"/>
    <x v="3"/>
    <s v="Ikeja Branch"/>
    <s v="Surgery"/>
    <s v="K35.8"/>
    <x v="134"/>
    <m/>
    <n v="508735"/>
    <m/>
    <s v="Pending"/>
    <m/>
    <s v="PR006"/>
    <s v="Pending"/>
    <m/>
    <s v="Recorded"/>
  </r>
  <r>
    <s v="CLM00264"/>
    <s v="P0264"/>
    <x v="2"/>
    <s v="Surulere Branch"/>
    <s v="Pharmacy"/>
    <s v="I10"/>
    <x v="186"/>
    <d v="2024-11-28T00:00:00"/>
    <n v="405999"/>
    <n v="0"/>
    <s v="Rejected"/>
    <s v="Duplicate Claim"/>
    <s v="PR005"/>
    <n v="14"/>
    <m/>
    <s v="Recorded"/>
  </r>
  <r>
    <s v="CLM00004"/>
    <s v="P0004"/>
    <x v="3"/>
    <s v="Apapa Branch"/>
    <s v="Pharmacy"/>
    <s v="E11.9"/>
    <x v="187"/>
    <d v="2024-06-16T00:00:00"/>
    <n v="131514"/>
    <n v="131514"/>
    <s v="Approved"/>
    <m/>
    <s v="PR014"/>
    <n v="19"/>
    <m/>
    <s v="Recorded"/>
  </r>
  <r>
    <s v="CLM00124"/>
    <s v="P0124"/>
    <x v="0"/>
    <s v="Yaba Branch"/>
    <s v="Maternity"/>
    <s v="O80"/>
    <x v="188"/>
    <d v="2024-08-22T00:00:00"/>
    <n v="476492"/>
    <n v="476492"/>
    <s v="Approved"/>
    <m/>
    <s v="PR001"/>
    <n v="17"/>
    <m/>
    <s v="Recorded"/>
  </r>
  <r>
    <s v="CLM00122"/>
    <s v="P0122"/>
    <x v="2"/>
    <s v="Ikeja Branch"/>
    <s v="Surgery"/>
    <s v="S72.0"/>
    <x v="62"/>
    <d v="2024-07-22T00:00:00"/>
    <n v="267060"/>
    <n v="267060"/>
    <s v="Approved"/>
    <m/>
    <s v="PR009"/>
    <n v="7"/>
    <m/>
    <s v="Recorded"/>
  </r>
  <r>
    <s v="CLM00248"/>
    <s v="P0248"/>
    <x v="1"/>
    <s v="Apapa Branch"/>
    <s v="Outpatient Consultation"/>
    <s v="I10"/>
    <x v="151"/>
    <m/>
    <n v="362993"/>
    <m/>
    <s v="Pending"/>
    <m/>
    <s v="PR014"/>
    <s v="Pending"/>
    <m/>
    <s v="Recorded"/>
  </r>
  <r>
    <s v="CLM00070"/>
    <s v="P0070"/>
    <x v="1"/>
    <s v="Ikeja Branch"/>
    <s v="Laboratory Test"/>
    <s v="R73.0"/>
    <x v="19"/>
    <d v="2024-07-23T00:00:00"/>
    <n v="755659"/>
    <n v="755659"/>
    <s v="Approved"/>
    <m/>
    <s v="PR005"/>
    <n v="1"/>
    <m/>
    <s v="Recorded"/>
  </r>
  <r>
    <s v="CLM00071"/>
    <s v="P0071"/>
    <x v="1"/>
    <s v="Yaba Branch"/>
    <s v="Outpatient Consultation"/>
    <s v="I10"/>
    <x v="78"/>
    <d v="2024-08-02T00:00:00"/>
    <n v="625796"/>
    <n v="211644"/>
    <s v="Partially Approved"/>
    <m/>
    <s v="PR014"/>
    <n v="15"/>
    <m/>
    <s v="Recorded"/>
  </r>
  <r>
    <s v="CLM00160"/>
    <s v="P0160"/>
    <x v="3"/>
    <s v="Surulere Branch"/>
    <s v="Surgery"/>
    <s v="S72.0"/>
    <x v="189"/>
    <d v="2024-08-15T00:00:00"/>
    <n v="34396"/>
    <n v="16715"/>
    <s v="Partially Approved"/>
    <m/>
    <s v="PR015"/>
    <n v="11"/>
    <m/>
    <s v="Recorded"/>
  </r>
  <r>
    <s v="CLM00104"/>
    <s v="P0104"/>
    <x v="3"/>
    <s v="Ikeja Branch"/>
    <s v="Surgery"/>
    <s v="K35.8"/>
    <x v="147"/>
    <d v="2024-03-27T00:00:00"/>
    <n v="934390"/>
    <n v="329475"/>
    <s v="Partially Approved"/>
    <m/>
    <s v="PR002"/>
    <n v="4"/>
    <m/>
    <s v="Recorded"/>
  </r>
  <r>
    <s v="CLM00048"/>
    <s v="P0048"/>
    <x v="2"/>
    <s v="Yaba Branch"/>
    <s v="Surgery"/>
    <s v="S72.0"/>
    <x v="190"/>
    <d v="2024-05-20T00:00:00"/>
    <m/>
    <n v="270614"/>
    <s v="Approved"/>
    <m/>
    <s v="PR012"/>
    <n v="2"/>
    <m/>
    <s v="Missing"/>
  </r>
  <r>
    <s v="CLM00211"/>
    <s v="P0211"/>
    <x v="3"/>
    <s v="Ikeja Branch"/>
    <s v="Laboratory Test"/>
    <s v="R73.0"/>
    <x v="92"/>
    <d v="2024-05-19T00:00:00"/>
    <n v="863623"/>
    <n v="863623"/>
    <s v="Approved"/>
    <m/>
    <s v="PR003"/>
    <n v="2"/>
    <m/>
    <s v="Recorded"/>
  </r>
  <r>
    <s v="CLM00178"/>
    <s v="P0178"/>
    <x v="2"/>
    <s v="Surulere Branch"/>
    <s v="Diagnostic Imaging"/>
    <s v="R91.8"/>
    <x v="98"/>
    <d v="2024-03-29T00:00:00"/>
    <n v="879051"/>
    <n v="879051"/>
    <s v="Approved"/>
    <m/>
    <s v="PR005"/>
    <n v="14"/>
    <m/>
    <s v="Recorded"/>
  </r>
  <r>
    <s v="CLM00184"/>
    <s v="P0184"/>
    <x v="1"/>
    <s v="Lekki Branch"/>
    <s v="Pharmacy"/>
    <s v="E11.9"/>
    <x v="191"/>
    <m/>
    <n v="371272"/>
    <m/>
    <s v="Pending"/>
    <m/>
    <s v="PR004"/>
    <s v="Pending"/>
    <m/>
    <s v="Recorded"/>
  </r>
  <r>
    <s v="CLM00087"/>
    <s v="P0087"/>
    <x v="1"/>
    <s v="Yaba Branch"/>
    <s v="Diagnostic Imaging"/>
    <s v="R91.8"/>
    <x v="150"/>
    <d v="2024-09-01T00:00:00"/>
    <n v="267059"/>
    <n v="267059"/>
    <s v="Approved"/>
    <m/>
    <s v="PR012"/>
    <n v="1"/>
    <m/>
    <s v="Recorded"/>
  </r>
  <r>
    <s v="CLM00031"/>
    <s v="P0031"/>
    <x v="3"/>
    <s v="Ikeja Branch"/>
    <s v="Maternity"/>
    <s v="O80"/>
    <x v="102"/>
    <d v="2024-08-18T00:00:00"/>
    <m/>
    <n v="151363"/>
    <s v="Partially Approved"/>
    <m/>
    <s v="PR004"/>
    <n v="8"/>
    <m/>
    <s v="Missing"/>
  </r>
  <r>
    <s v="CLM00128"/>
    <s v="P0128"/>
    <x v="1"/>
    <s v="Surulere Branch"/>
    <s v="Diagnostic Imaging"/>
    <s v="R91.8"/>
    <x v="192"/>
    <d v="2024-01-19T00:00:00"/>
    <n v="651955"/>
    <n v="434229"/>
    <s v="Partially Approved"/>
    <m/>
    <s v="PR015"/>
    <n v="5"/>
    <m/>
    <s v="Recorded"/>
  </r>
  <r>
    <s v="CLM00291"/>
    <s v="P0291"/>
    <x v="1"/>
    <s v="Yaba Branch"/>
    <s v="Diagnostic Imaging"/>
    <s v="M54.5"/>
    <x v="66"/>
    <d v="2024-01-18T00:00:00"/>
    <m/>
    <n v="0"/>
    <s v="Rejected"/>
    <s v="Pre-authorisation Missing"/>
    <s v="PR012"/>
    <n v="3"/>
    <m/>
    <s v="Missing"/>
  </r>
  <r>
    <s v="CLM00279"/>
    <s v="P0279"/>
    <x v="3"/>
    <s v="Ikeja Branch"/>
    <s v="Diagnostic Imaging"/>
    <s v="M54.5"/>
    <x v="193"/>
    <d v="2024-03-19T00:00:00"/>
    <m/>
    <n v="0"/>
    <s v="Rejected"/>
    <s v="Service Not Covered"/>
    <s v="PR011"/>
    <n v="5"/>
    <m/>
    <s v="Missing"/>
  </r>
  <r>
    <s v="CLM00121"/>
    <s v="P0121"/>
    <x v="2"/>
    <s v="Lekki Branch"/>
    <s v="Maternity"/>
    <s v="O82"/>
    <x v="18"/>
    <m/>
    <n v="877466"/>
    <m/>
    <s v="Pending"/>
    <m/>
    <s v="PR010"/>
    <s v="Pending"/>
    <m/>
    <s v="Recorded"/>
  </r>
  <r>
    <s v="CLM00084"/>
    <s v="P0084"/>
    <x v="0"/>
    <s v="Ikeja Branch"/>
    <s v="Maternity"/>
    <s v="O80"/>
    <x v="63"/>
    <m/>
    <n v="251874"/>
    <m/>
    <s v="Pending"/>
    <m/>
    <s v="PR001"/>
    <s v="Pending"/>
    <m/>
    <s v="Recorded"/>
  </r>
  <r>
    <s v="CLM00280"/>
    <s v="P0280"/>
    <x v="3"/>
    <s v="Apapa Branch"/>
    <s v="Outpatient Consultation"/>
    <s v="I10"/>
    <x v="194"/>
    <d v="2024-04-10T00:00:00"/>
    <n v="28497"/>
    <n v="28497"/>
    <s v="Approved"/>
    <m/>
    <s v="PR007"/>
    <n v="2"/>
    <m/>
    <s v="Recorded"/>
  </r>
  <r>
    <s v="CLM00090"/>
    <s v="P0090"/>
    <x v="2"/>
    <s v="Ikeja Branch"/>
    <s v="Pharmacy"/>
    <s v="I10"/>
    <x v="195"/>
    <d v="2024-09-25T00:00:00"/>
    <n v="218149"/>
    <n v="218149"/>
    <s v="Approved"/>
    <m/>
    <s v="PR004"/>
    <n v="10"/>
    <m/>
    <s v="Recorded"/>
  </r>
  <r>
    <s v="CLM00134"/>
    <s v="P0134"/>
    <x v="0"/>
    <s v="Yaba Branch"/>
    <s v="Maternity"/>
    <s v="O80"/>
    <x v="196"/>
    <d v="2024-07-11T00:00:00"/>
    <n v="471765"/>
    <n v="471765"/>
    <s v="Approved"/>
    <m/>
    <s v="PR012"/>
    <n v="8"/>
    <m/>
    <s v="Recorded"/>
  </r>
  <r>
    <s v="CLM00287"/>
    <s v="P0287"/>
    <x v="2"/>
    <s v="Lekki Branch"/>
    <s v="Outpatient Consultation"/>
    <s v="J45.0"/>
    <x v="190"/>
    <d v="2024-06-02T00:00:00"/>
    <n v="589934"/>
    <n v="589934"/>
    <s v="Approved"/>
    <m/>
    <s v="PR013"/>
    <n v="15"/>
    <m/>
    <s v="Recorded"/>
  </r>
  <r>
    <s v="CLM00023"/>
    <s v="P0023"/>
    <x v="1"/>
    <s v="Apapa Branch"/>
    <s v="Laboratory Test"/>
    <s v="Z00.0"/>
    <x v="197"/>
    <m/>
    <n v="566463"/>
    <m/>
    <s v="Pending"/>
    <m/>
    <s v="PR009"/>
    <s v="Pending"/>
    <m/>
    <s v="Recorded"/>
  </r>
  <r>
    <s v="CLM00097"/>
    <s v="P0097"/>
    <x v="0"/>
    <s v="Lekki Branch"/>
    <s v="Laboratory Test"/>
    <s v="R73.0"/>
    <x v="194"/>
    <d v="2024-04-24T00:00:00"/>
    <m/>
    <n v="948565"/>
    <s v="Approved"/>
    <m/>
    <s v="PR007"/>
    <n v="16"/>
    <m/>
    <s v="Missing"/>
  </r>
  <r>
    <s v="CLM00251"/>
    <s v="P0251"/>
    <x v="0"/>
    <s v="Lekki Branch"/>
    <s v="Maternity"/>
    <s v="O80"/>
    <x v="198"/>
    <d v="2024-05-10T00:00:00"/>
    <n v="822302"/>
    <n v="822302"/>
    <s v="Approved"/>
    <m/>
    <s v="PR013"/>
    <n v="15"/>
    <m/>
    <s v="Recorded"/>
  </r>
  <r>
    <s v="CLM00066"/>
    <s v="P0066"/>
    <x v="0"/>
    <s v="Ikeja Branch"/>
    <s v="Laboratory Test"/>
    <s v="R73.0"/>
    <x v="199"/>
    <m/>
    <n v="479283"/>
    <m/>
    <s v="Pending"/>
    <m/>
    <s v="PR007"/>
    <s v="Pending"/>
    <m/>
    <s v="Recorded"/>
  </r>
  <r>
    <s v="CLM00263"/>
    <s v="P0263"/>
    <x v="2"/>
    <s v="Surulere Branch"/>
    <s v="Pharmacy"/>
    <s v="E11.9"/>
    <x v="200"/>
    <d v="2024-01-07T00:00:00"/>
    <n v="622292"/>
    <n v="622292"/>
    <s v="Approved"/>
    <m/>
    <s v="PR010"/>
    <n v="4"/>
    <m/>
    <s v="Recorded"/>
  </r>
  <r>
    <s v="CLM00220"/>
    <s v="P0220"/>
    <x v="1"/>
    <s v="Lekki Branch"/>
    <s v="Inpatient Admission"/>
    <s v="N18.6"/>
    <x v="123"/>
    <d v="2024-02-24T00:00:00"/>
    <n v="592455"/>
    <n v="592455"/>
    <s v="Approved"/>
    <m/>
    <s v="PR008"/>
    <n v="12"/>
    <m/>
    <s v="Recorded"/>
  </r>
  <r>
    <s v="CLM00106"/>
    <s v="P0106"/>
    <x v="3"/>
    <s v="Lekki Branch"/>
    <s v="Diagnostic Imaging"/>
    <s v="R91.8"/>
    <x v="201"/>
    <d v="2024-06-11T00:00:00"/>
    <n v="288668"/>
    <n v="288668"/>
    <s v="Approved"/>
    <m/>
    <s v="PR005"/>
    <n v="12"/>
    <m/>
    <s v="Recorded"/>
  </r>
  <r>
    <s v="CLM00028"/>
    <s v="P0028"/>
    <x v="0"/>
    <s v="Lekki Branch"/>
    <s v="Surgery"/>
    <s v="S72.0"/>
    <x v="102"/>
    <m/>
    <n v="356669"/>
    <m/>
    <s v="Pending"/>
    <m/>
    <s v="PR012"/>
    <s v="Pending"/>
    <m/>
    <s v="Recorded"/>
  </r>
  <r>
    <s v="CLM00261"/>
    <s v="P0261"/>
    <x v="3"/>
    <s v="Lekki Branch"/>
    <s v="Surgery"/>
    <s v="K35.8"/>
    <x v="202"/>
    <d v="2024-12-28T00:00:00"/>
    <n v="220328"/>
    <n v="220328"/>
    <s v="Approved"/>
    <m/>
    <s v="PR005"/>
    <n v="20"/>
    <m/>
    <s v="Recorded"/>
  </r>
  <r>
    <s v="CLM00232"/>
    <s v="P0232"/>
    <x v="3"/>
    <s v="Lekki Branch"/>
    <s v="Maternity"/>
    <s v="O82"/>
    <x v="203"/>
    <d v="2024-06-09T00:00:00"/>
    <n v="389975"/>
    <n v="389975"/>
    <s v="Approved"/>
    <m/>
    <s v="PR004"/>
    <n v="14"/>
    <m/>
    <s v="Recorded"/>
  </r>
  <r>
    <s v="CLM00258"/>
    <s v="P0258"/>
    <x v="0"/>
    <s v="Ikeja Branch"/>
    <s v="Laboratory Test"/>
    <s v="Z00.0"/>
    <x v="148"/>
    <d v="2024-05-11T00:00:00"/>
    <n v="523277"/>
    <n v="523277"/>
    <s v="Approved"/>
    <m/>
    <s v="PR004"/>
    <n v="9"/>
    <m/>
    <s v="Record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6D478-9B6A-455D-82C7-3152692AFED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8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numFmtId="164" showAll="0">
      <items count="205">
        <item x="63"/>
        <item x="200"/>
        <item x="57"/>
        <item x="1"/>
        <item x="88"/>
        <item x="192"/>
        <item x="66"/>
        <item x="45"/>
        <item x="105"/>
        <item x="108"/>
        <item x="111"/>
        <item x="151"/>
        <item x="167"/>
        <item x="65"/>
        <item x="117"/>
        <item x="172"/>
        <item x="93"/>
        <item x="177"/>
        <item x="109"/>
        <item x="138"/>
        <item x="199"/>
        <item x="79"/>
        <item x="21"/>
        <item x="123"/>
        <item x="80"/>
        <item x="5"/>
        <item x="86"/>
        <item x="162"/>
        <item x="182"/>
        <item x="51"/>
        <item x="139"/>
        <item x="100"/>
        <item x="104"/>
        <item x="85"/>
        <item x="133"/>
        <item x="179"/>
        <item x="153"/>
        <item x="115"/>
        <item x="131"/>
        <item x="193"/>
        <item x="98"/>
        <item x="154"/>
        <item x="22"/>
        <item x="74"/>
        <item x="89"/>
        <item x="147"/>
        <item x="37"/>
        <item x="43"/>
        <item x="191"/>
        <item x="194"/>
        <item x="61"/>
        <item x="121"/>
        <item x="53"/>
        <item x="161"/>
        <item x="176"/>
        <item x="164"/>
        <item x="14"/>
        <item x="198"/>
        <item x="47"/>
        <item x="128"/>
        <item x="67"/>
        <item x="148"/>
        <item x="6"/>
        <item x="84"/>
        <item x="155"/>
        <item x="44"/>
        <item x="101"/>
        <item x="60"/>
        <item x="92"/>
        <item x="190"/>
        <item x="76"/>
        <item x="27"/>
        <item x="41"/>
        <item x="12"/>
        <item x="157"/>
        <item x="203"/>
        <item x="142"/>
        <item x="187"/>
        <item x="159"/>
        <item x="201"/>
        <item x="106"/>
        <item x="183"/>
        <item x="68"/>
        <item x="140"/>
        <item x="136"/>
        <item x="113"/>
        <item x="30"/>
        <item x="71"/>
        <item x="134"/>
        <item x="40"/>
        <item x="17"/>
        <item x="72"/>
        <item x="77"/>
        <item x="69"/>
        <item x="168"/>
        <item x="58"/>
        <item x="116"/>
        <item x="184"/>
        <item x="26"/>
        <item x="16"/>
        <item x="197"/>
        <item x="0"/>
        <item x="196"/>
        <item x="90"/>
        <item x="171"/>
        <item x="15"/>
        <item x="49"/>
        <item x="110"/>
        <item x="62"/>
        <item x="56"/>
        <item x="78"/>
        <item x="107"/>
        <item x="19"/>
        <item x="55"/>
        <item x="3"/>
        <item x="87"/>
        <item x="94"/>
        <item x="59"/>
        <item x="129"/>
        <item x="10"/>
        <item x="189"/>
        <item x="188"/>
        <item x="73"/>
        <item x="82"/>
        <item x="102"/>
        <item x="122"/>
        <item x="46"/>
        <item x="36"/>
        <item x="54"/>
        <item x="144"/>
        <item x="95"/>
        <item x="160"/>
        <item x="126"/>
        <item x="112"/>
        <item x="70"/>
        <item x="150"/>
        <item x="7"/>
        <item x="135"/>
        <item x="185"/>
        <item x="181"/>
        <item x="81"/>
        <item x="75"/>
        <item x="103"/>
        <item x="124"/>
        <item x="20"/>
        <item x="180"/>
        <item x="195"/>
        <item x="119"/>
        <item x="165"/>
        <item x="146"/>
        <item x="32"/>
        <item x="35"/>
        <item x="8"/>
        <item x="34"/>
        <item x="50"/>
        <item x="97"/>
        <item x="114"/>
        <item x="145"/>
        <item x="158"/>
        <item x="23"/>
        <item x="120"/>
        <item x="178"/>
        <item x="31"/>
        <item x="175"/>
        <item x="130"/>
        <item x="48"/>
        <item x="99"/>
        <item x="52"/>
        <item x="2"/>
        <item x="9"/>
        <item x="152"/>
        <item x="143"/>
        <item x="39"/>
        <item x="24"/>
        <item x="18"/>
        <item x="25"/>
        <item x="28"/>
        <item x="156"/>
        <item x="186"/>
        <item x="118"/>
        <item x="83"/>
        <item x="125"/>
        <item x="163"/>
        <item x="11"/>
        <item x="96"/>
        <item x="38"/>
        <item x="173"/>
        <item x="169"/>
        <item x="149"/>
        <item x="166"/>
        <item x="202"/>
        <item x="132"/>
        <item x="174"/>
        <item x="42"/>
        <item x="33"/>
        <item x="13"/>
        <item x="29"/>
        <item x="170"/>
        <item x="4"/>
        <item x="141"/>
        <item x="64"/>
        <item x="127"/>
        <item x="137"/>
        <item x="9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aim Amount" fld="8" baseField="0" baseItem="0"/>
    <dataField name="Sum of Approved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83F14-39D4-4B11-AABB-28B63A963A9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numFmtId="164" showAll="0">
      <items count="205">
        <item x="63"/>
        <item x="200"/>
        <item x="57"/>
        <item x="1"/>
        <item x="88"/>
        <item x="192"/>
        <item x="66"/>
        <item x="45"/>
        <item x="105"/>
        <item x="108"/>
        <item x="111"/>
        <item x="151"/>
        <item x="167"/>
        <item x="65"/>
        <item x="117"/>
        <item x="172"/>
        <item x="93"/>
        <item x="177"/>
        <item x="109"/>
        <item x="138"/>
        <item x="199"/>
        <item x="79"/>
        <item x="21"/>
        <item x="123"/>
        <item x="80"/>
        <item x="5"/>
        <item x="86"/>
        <item x="162"/>
        <item x="182"/>
        <item x="51"/>
        <item x="139"/>
        <item x="100"/>
        <item x="104"/>
        <item x="85"/>
        <item x="133"/>
        <item x="179"/>
        <item x="153"/>
        <item x="115"/>
        <item x="131"/>
        <item x="193"/>
        <item x="98"/>
        <item x="154"/>
        <item x="22"/>
        <item x="74"/>
        <item x="89"/>
        <item x="147"/>
        <item x="37"/>
        <item x="43"/>
        <item x="191"/>
        <item x="194"/>
        <item x="61"/>
        <item x="121"/>
        <item x="53"/>
        <item x="161"/>
        <item x="176"/>
        <item x="164"/>
        <item x="14"/>
        <item x="198"/>
        <item x="47"/>
        <item x="128"/>
        <item x="67"/>
        <item x="148"/>
        <item x="6"/>
        <item x="84"/>
        <item x="155"/>
        <item x="44"/>
        <item x="101"/>
        <item x="60"/>
        <item x="92"/>
        <item x="190"/>
        <item x="76"/>
        <item x="27"/>
        <item x="41"/>
        <item x="12"/>
        <item x="157"/>
        <item x="203"/>
        <item x="142"/>
        <item x="187"/>
        <item x="159"/>
        <item x="201"/>
        <item x="106"/>
        <item x="183"/>
        <item x="68"/>
        <item x="140"/>
        <item x="136"/>
        <item x="113"/>
        <item x="30"/>
        <item x="71"/>
        <item x="134"/>
        <item x="40"/>
        <item x="17"/>
        <item x="72"/>
        <item x="77"/>
        <item x="69"/>
        <item x="168"/>
        <item x="58"/>
        <item x="116"/>
        <item x="184"/>
        <item x="26"/>
        <item x="16"/>
        <item x="197"/>
        <item x="0"/>
        <item x="196"/>
        <item x="90"/>
        <item x="171"/>
        <item x="15"/>
        <item x="49"/>
        <item x="110"/>
        <item x="62"/>
        <item x="56"/>
        <item x="78"/>
        <item x="107"/>
        <item x="19"/>
        <item x="55"/>
        <item x="3"/>
        <item x="87"/>
        <item x="94"/>
        <item x="59"/>
        <item x="129"/>
        <item x="10"/>
        <item x="189"/>
        <item x="188"/>
        <item x="73"/>
        <item x="82"/>
        <item x="102"/>
        <item x="122"/>
        <item x="46"/>
        <item x="36"/>
        <item x="54"/>
        <item x="144"/>
        <item x="95"/>
        <item x="160"/>
        <item x="126"/>
        <item x="112"/>
        <item x="70"/>
        <item x="150"/>
        <item x="7"/>
        <item x="135"/>
        <item x="185"/>
        <item x="181"/>
        <item x="81"/>
        <item x="75"/>
        <item x="103"/>
        <item x="124"/>
        <item x="20"/>
        <item x="180"/>
        <item x="195"/>
        <item x="119"/>
        <item x="165"/>
        <item x="146"/>
        <item x="32"/>
        <item x="35"/>
        <item x="8"/>
        <item x="34"/>
        <item x="50"/>
        <item x="97"/>
        <item x="114"/>
        <item x="145"/>
        <item x="158"/>
        <item x="23"/>
        <item x="120"/>
        <item x="178"/>
        <item x="31"/>
        <item x="175"/>
        <item x="130"/>
        <item x="48"/>
        <item x="99"/>
        <item x="52"/>
        <item x="2"/>
        <item x="9"/>
        <item x="152"/>
        <item x="143"/>
        <item x="39"/>
        <item x="24"/>
        <item x="18"/>
        <item x="25"/>
        <item x="28"/>
        <item x="156"/>
        <item x="186"/>
        <item x="118"/>
        <item x="83"/>
        <item x="125"/>
        <item x="163"/>
        <item x="11"/>
        <item x="96"/>
        <item x="38"/>
        <item x="173"/>
        <item x="169"/>
        <item x="149"/>
        <item x="166"/>
        <item x="202"/>
        <item x="132"/>
        <item x="174"/>
        <item x="42"/>
        <item x="33"/>
        <item x="13"/>
        <item x="29"/>
        <item x="170"/>
        <item x="4"/>
        <item x="141"/>
        <item x="64"/>
        <item x="127"/>
        <item x="137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7"/>
    <field x="16"/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laim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6"/>
  <sheetViews>
    <sheetView topLeftCell="L1" zoomScaleNormal="100" workbookViewId="0">
      <pane ySplit="1" topLeftCell="A46" activePane="bottomLeft" state="frozen"/>
      <selection pane="bottomLeft" activeCell="N306" sqref="N306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6" customWidth="1"/>
    <col min="4" max="5" width="18" customWidth="1"/>
    <col min="6" max="9" width="14" customWidth="1"/>
    <col min="10" max="10" width="15" customWidth="1"/>
    <col min="11" max="11" width="14" customWidth="1"/>
    <col min="12" max="12" width="26" customWidth="1"/>
    <col min="13" max="13" width="12" customWidth="1"/>
    <col min="14" max="14" width="15" customWidth="1"/>
  </cols>
  <sheetData>
    <row r="1" spans="1:14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.5" customHeight="1" x14ac:dyDescent="0.3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2" t="s">
        <v>19</v>
      </c>
      <c r="G2" s="4">
        <v>45475</v>
      </c>
      <c r="H2" s="4">
        <v>45479</v>
      </c>
      <c r="I2" s="5">
        <v>406921</v>
      </c>
      <c r="J2" s="5">
        <v>0</v>
      </c>
      <c r="K2" s="2" t="s">
        <v>20</v>
      </c>
      <c r="L2" s="3" t="s">
        <v>21</v>
      </c>
      <c r="M2" s="2" t="s">
        <v>22</v>
      </c>
      <c r="N2" s="2"/>
    </row>
    <row r="3" spans="1:14" ht="13.5" customHeight="1" x14ac:dyDescent="0.3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2" t="s">
        <v>28</v>
      </c>
      <c r="G3" s="4">
        <v>45298</v>
      </c>
      <c r="H3" s="4">
        <v>45302</v>
      </c>
      <c r="I3" s="5">
        <v>289828</v>
      </c>
      <c r="J3" s="5">
        <v>289828</v>
      </c>
      <c r="K3" s="2" t="s">
        <v>29</v>
      </c>
      <c r="L3" s="3"/>
      <c r="M3" s="2" t="s">
        <v>30</v>
      </c>
      <c r="N3" s="2"/>
    </row>
    <row r="4" spans="1:14" ht="13.5" customHeight="1" x14ac:dyDescent="0.3">
      <c r="A4" s="2" t="s">
        <v>31</v>
      </c>
      <c r="B4" s="3" t="s">
        <v>32</v>
      </c>
      <c r="C4" s="3" t="s">
        <v>25</v>
      </c>
      <c r="D4" s="3" t="s">
        <v>26</v>
      </c>
      <c r="E4" s="3" t="s">
        <v>33</v>
      </c>
      <c r="F4" s="2" t="s">
        <v>34</v>
      </c>
      <c r="G4" s="4">
        <v>45596</v>
      </c>
      <c r="H4" s="4">
        <v>45600</v>
      </c>
      <c r="I4" s="2"/>
      <c r="J4" s="5">
        <v>520219</v>
      </c>
      <c r="K4" s="2" t="s">
        <v>35</v>
      </c>
      <c r="L4" s="3"/>
      <c r="M4" s="2" t="s">
        <v>36</v>
      </c>
      <c r="N4" s="2"/>
    </row>
    <row r="5" spans="1:14" ht="13.5" customHeight="1" x14ac:dyDescent="0.3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2" t="s">
        <v>42</v>
      </c>
      <c r="G5" s="4">
        <v>45497</v>
      </c>
      <c r="H5" s="4">
        <v>45508</v>
      </c>
      <c r="I5" s="5">
        <v>623936</v>
      </c>
      <c r="J5" s="5">
        <v>623936</v>
      </c>
      <c r="K5" s="2" t="s">
        <v>43</v>
      </c>
      <c r="L5" s="3"/>
      <c r="M5" s="2" t="s">
        <v>44</v>
      </c>
      <c r="N5" s="2"/>
    </row>
    <row r="6" spans="1:14" ht="13.5" customHeight="1" x14ac:dyDescent="0.3">
      <c r="A6" s="2" t="s">
        <v>45</v>
      </c>
      <c r="B6" s="3" t="s">
        <v>46</v>
      </c>
      <c r="C6" s="3" t="s">
        <v>16</v>
      </c>
      <c r="D6" s="3" t="s">
        <v>40</v>
      </c>
      <c r="E6" s="3" t="s">
        <v>33</v>
      </c>
      <c r="F6" s="2" t="s">
        <v>47</v>
      </c>
      <c r="G6" s="4">
        <v>45647</v>
      </c>
      <c r="H6" s="4">
        <v>45658</v>
      </c>
      <c r="I6" s="5">
        <v>773168</v>
      </c>
      <c r="J6" s="5">
        <v>525502</v>
      </c>
      <c r="K6" s="2" t="s">
        <v>35</v>
      </c>
      <c r="L6" s="3"/>
      <c r="M6" s="2" t="s">
        <v>44</v>
      </c>
      <c r="N6" s="2"/>
    </row>
    <row r="7" spans="1:14" ht="13.5" customHeight="1" x14ac:dyDescent="0.3">
      <c r="A7" s="2" t="s">
        <v>48</v>
      </c>
      <c r="B7" s="3" t="s">
        <v>49</v>
      </c>
      <c r="C7" s="3" t="s">
        <v>25</v>
      </c>
      <c r="D7" s="3" t="s">
        <v>40</v>
      </c>
      <c r="E7" s="3" t="s">
        <v>50</v>
      </c>
      <c r="F7" s="2" t="s">
        <v>51</v>
      </c>
      <c r="G7" s="4">
        <v>45337</v>
      </c>
      <c r="H7" s="4">
        <v>45349</v>
      </c>
      <c r="I7" s="5">
        <v>396857</v>
      </c>
      <c r="J7" s="5">
        <v>0</v>
      </c>
      <c r="K7" s="2" t="s">
        <v>20</v>
      </c>
      <c r="L7" s="3" t="s">
        <v>52</v>
      </c>
      <c r="M7" s="2" t="s">
        <v>53</v>
      </c>
      <c r="N7" s="2"/>
    </row>
    <row r="8" spans="1:14" ht="13.5" customHeight="1" x14ac:dyDescent="0.3">
      <c r="A8" s="2" t="s">
        <v>54</v>
      </c>
      <c r="B8" s="3" t="s">
        <v>55</v>
      </c>
      <c r="C8" s="3" t="s">
        <v>39</v>
      </c>
      <c r="D8" s="3" t="s">
        <v>56</v>
      </c>
      <c r="E8" s="3" t="s">
        <v>57</v>
      </c>
      <c r="F8" s="2" t="s">
        <v>58</v>
      </c>
      <c r="G8" s="4">
        <v>45417</v>
      </c>
      <c r="H8" s="4">
        <v>45436</v>
      </c>
      <c r="I8" s="5">
        <v>935117</v>
      </c>
      <c r="J8" s="5">
        <v>935117</v>
      </c>
      <c r="K8" s="2" t="s">
        <v>29</v>
      </c>
      <c r="L8" s="3"/>
      <c r="M8" s="2" t="s">
        <v>59</v>
      </c>
      <c r="N8" s="2"/>
    </row>
    <row r="9" spans="1:14" ht="13.5" customHeight="1" x14ac:dyDescent="0.3">
      <c r="A9" s="2" t="s">
        <v>60</v>
      </c>
      <c r="B9" s="3" t="s">
        <v>61</v>
      </c>
      <c r="C9" s="3" t="s">
        <v>16</v>
      </c>
      <c r="D9" s="3" t="s">
        <v>62</v>
      </c>
      <c r="E9" s="3" t="s">
        <v>33</v>
      </c>
      <c r="F9" s="2" t="s">
        <v>47</v>
      </c>
      <c r="G9" s="4">
        <v>45536</v>
      </c>
      <c r="H9" s="4">
        <v>45544</v>
      </c>
      <c r="I9" s="5">
        <v>287193</v>
      </c>
      <c r="J9" s="5">
        <v>287193</v>
      </c>
      <c r="K9" s="2" t="s">
        <v>43</v>
      </c>
      <c r="L9" s="3"/>
      <c r="M9" s="2" t="s">
        <v>63</v>
      </c>
      <c r="N9" s="2"/>
    </row>
    <row r="10" spans="1:14" ht="13.5" customHeight="1" x14ac:dyDescent="0.3">
      <c r="A10" s="2" t="s">
        <v>64</v>
      </c>
      <c r="B10" s="3" t="s">
        <v>65</v>
      </c>
      <c r="C10" s="3" t="s">
        <v>16</v>
      </c>
      <c r="D10" s="3" t="s">
        <v>26</v>
      </c>
      <c r="E10" s="3" t="s">
        <v>57</v>
      </c>
      <c r="F10" s="2" t="s">
        <v>66</v>
      </c>
      <c r="G10" s="4">
        <v>45561</v>
      </c>
      <c r="H10" s="4">
        <v>45576</v>
      </c>
      <c r="I10" s="5">
        <v>693062</v>
      </c>
      <c r="J10" s="5">
        <v>693062</v>
      </c>
      <c r="K10" s="2" t="s">
        <v>67</v>
      </c>
      <c r="L10" s="3"/>
      <c r="M10" s="2" t="s">
        <v>59</v>
      </c>
      <c r="N10" s="2"/>
    </row>
    <row r="11" spans="1:14" ht="13.5" customHeight="1" x14ac:dyDescent="0.3">
      <c r="A11" s="2" t="s">
        <v>68</v>
      </c>
      <c r="B11" s="3" t="s">
        <v>69</v>
      </c>
      <c r="C11" s="3" t="s">
        <v>70</v>
      </c>
      <c r="D11" s="3" t="s">
        <v>62</v>
      </c>
      <c r="E11" s="3" t="s">
        <v>33</v>
      </c>
      <c r="F11" s="2" t="s">
        <v>34</v>
      </c>
      <c r="G11" s="4">
        <v>45597</v>
      </c>
      <c r="H11" s="4">
        <v>45601</v>
      </c>
      <c r="I11" s="5">
        <v>374686</v>
      </c>
      <c r="J11" s="5">
        <v>0</v>
      </c>
      <c r="K11" s="2" t="s">
        <v>20</v>
      </c>
      <c r="L11" s="3" t="s">
        <v>71</v>
      </c>
      <c r="M11" s="2" t="s">
        <v>22</v>
      </c>
      <c r="N11" s="2"/>
    </row>
    <row r="12" spans="1:14" ht="13.5" customHeight="1" x14ac:dyDescent="0.3">
      <c r="A12" s="2" t="s">
        <v>72</v>
      </c>
      <c r="B12" s="3" t="s">
        <v>73</v>
      </c>
      <c r="C12" s="3" t="s">
        <v>70</v>
      </c>
      <c r="D12" s="3" t="s">
        <v>40</v>
      </c>
      <c r="E12" s="3" t="s">
        <v>74</v>
      </c>
      <c r="F12" s="2" t="s">
        <v>34</v>
      </c>
      <c r="G12" s="4">
        <v>45507</v>
      </c>
      <c r="H12" s="4"/>
      <c r="I12" s="2"/>
      <c r="J12" s="2"/>
      <c r="K12" s="2" t="s">
        <v>75</v>
      </c>
      <c r="L12" s="3"/>
      <c r="M12" s="2" t="s">
        <v>63</v>
      </c>
      <c r="N12" s="2"/>
    </row>
    <row r="13" spans="1:14" ht="13.5" customHeight="1" x14ac:dyDescent="0.3">
      <c r="A13" s="2" t="s">
        <v>76</v>
      </c>
      <c r="B13" s="3" t="s">
        <v>77</v>
      </c>
      <c r="C13" s="3" t="s">
        <v>16</v>
      </c>
      <c r="D13" s="3" t="s">
        <v>62</v>
      </c>
      <c r="E13" s="3" t="s">
        <v>74</v>
      </c>
      <c r="F13" s="2" t="s">
        <v>47</v>
      </c>
      <c r="G13" s="4">
        <v>45621</v>
      </c>
      <c r="H13" s="4">
        <v>45628</v>
      </c>
      <c r="I13" s="5">
        <v>432645</v>
      </c>
      <c r="J13" s="5">
        <v>432645</v>
      </c>
      <c r="K13" s="2" t="s">
        <v>43</v>
      </c>
      <c r="L13" s="3"/>
      <c r="M13" s="2" t="s">
        <v>78</v>
      </c>
      <c r="N13" s="2"/>
    </row>
    <row r="14" spans="1:14" ht="13.5" customHeight="1" x14ac:dyDescent="0.3">
      <c r="A14" s="2" t="s">
        <v>79</v>
      </c>
      <c r="B14" s="3" t="s">
        <v>80</v>
      </c>
      <c r="C14" s="3" t="s">
        <v>39</v>
      </c>
      <c r="D14" s="3" t="s">
        <v>62</v>
      </c>
      <c r="E14" s="3" t="s">
        <v>50</v>
      </c>
      <c r="F14" s="2" t="s">
        <v>81</v>
      </c>
      <c r="G14" s="4">
        <v>45435</v>
      </c>
      <c r="H14" s="4">
        <v>45437</v>
      </c>
      <c r="I14" s="2"/>
      <c r="J14" s="5">
        <v>494451</v>
      </c>
      <c r="K14" s="2" t="s">
        <v>29</v>
      </c>
      <c r="L14" s="3"/>
      <c r="M14" s="2" t="s">
        <v>63</v>
      </c>
      <c r="N14" s="2"/>
    </row>
    <row r="15" spans="1:14" ht="13.5" customHeight="1" x14ac:dyDescent="0.3">
      <c r="A15" s="2" t="s">
        <v>82</v>
      </c>
      <c r="B15" s="3" t="s">
        <v>83</v>
      </c>
      <c r="C15" s="3" t="s">
        <v>16</v>
      </c>
      <c r="D15" s="3" t="s">
        <v>26</v>
      </c>
      <c r="E15" s="3" t="s">
        <v>74</v>
      </c>
      <c r="F15" s="2" t="s">
        <v>34</v>
      </c>
      <c r="G15" s="4">
        <v>45643</v>
      </c>
      <c r="H15" s="4"/>
      <c r="I15" s="5">
        <v>239868</v>
      </c>
      <c r="J15" s="2"/>
      <c r="K15" s="2" t="s">
        <v>75</v>
      </c>
      <c r="L15" s="3"/>
      <c r="M15" s="2" t="s">
        <v>53</v>
      </c>
      <c r="N15" s="2"/>
    </row>
    <row r="16" spans="1:14" ht="13.5" customHeight="1" x14ac:dyDescent="0.3">
      <c r="A16" s="2" t="s">
        <v>84</v>
      </c>
      <c r="B16" s="3" t="s">
        <v>85</v>
      </c>
      <c r="C16" s="3" t="s">
        <v>70</v>
      </c>
      <c r="D16" s="3" t="s">
        <v>62</v>
      </c>
      <c r="E16" s="3" t="s">
        <v>74</v>
      </c>
      <c r="F16" s="2" t="s">
        <v>34</v>
      </c>
      <c r="G16" s="4">
        <v>45403</v>
      </c>
      <c r="H16" s="4">
        <v>45413</v>
      </c>
      <c r="I16" s="5">
        <v>143233</v>
      </c>
      <c r="J16" s="5">
        <v>76796</v>
      </c>
      <c r="K16" s="2" t="s">
        <v>35</v>
      </c>
      <c r="L16" s="3"/>
      <c r="M16" s="2" t="s">
        <v>36</v>
      </c>
      <c r="N16" s="2"/>
    </row>
    <row r="17" spans="1:14" ht="13.5" customHeight="1" x14ac:dyDescent="0.3">
      <c r="A17" s="2" t="s">
        <v>86</v>
      </c>
      <c r="B17" s="3" t="s">
        <v>87</v>
      </c>
      <c r="C17" s="3" t="s">
        <v>25</v>
      </c>
      <c r="D17" s="3" t="s">
        <v>17</v>
      </c>
      <c r="E17" s="3" t="s">
        <v>57</v>
      </c>
      <c r="F17" s="2" t="s">
        <v>58</v>
      </c>
      <c r="G17" s="4">
        <v>45482</v>
      </c>
      <c r="H17" s="4">
        <v>45502</v>
      </c>
      <c r="I17" s="5">
        <v>478930</v>
      </c>
      <c r="J17" s="5">
        <v>478930</v>
      </c>
      <c r="K17" s="2" t="s">
        <v>67</v>
      </c>
      <c r="L17" s="3"/>
      <c r="M17" s="2" t="s">
        <v>88</v>
      </c>
      <c r="N17" s="2"/>
    </row>
    <row r="18" spans="1:14" ht="13.5" customHeight="1" x14ac:dyDescent="0.3">
      <c r="A18" s="2" t="s">
        <v>89</v>
      </c>
      <c r="B18" s="3" t="s">
        <v>90</v>
      </c>
      <c r="C18" s="3" t="s">
        <v>25</v>
      </c>
      <c r="D18" s="3" t="s">
        <v>40</v>
      </c>
      <c r="E18" s="3" t="s">
        <v>74</v>
      </c>
      <c r="F18" s="2" t="s">
        <v>47</v>
      </c>
      <c r="G18" s="4">
        <v>45473</v>
      </c>
      <c r="H18" s="4"/>
      <c r="I18" s="5">
        <v>249648</v>
      </c>
      <c r="J18" s="2"/>
      <c r="K18" s="2" t="s">
        <v>75</v>
      </c>
      <c r="L18" s="3"/>
      <c r="M18" s="2" t="s">
        <v>78</v>
      </c>
      <c r="N18" s="2"/>
    </row>
    <row r="19" spans="1:14" ht="13.5" customHeight="1" x14ac:dyDescent="0.3">
      <c r="A19" s="2" t="s">
        <v>91</v>
      </c>
      <c r="B19" s="3" t="s">
        <v>92</v>
      </c>
      <c r="C19" s="3" t="s">
        <v>39</v>
      </c>
      <c r="D19" s="3" t="s">
        <v>40</v>
      </c>
      <c r="E19" s="3" t="s">
        <v>57</v>
      </c>
      <c r="F19" s="2" t="s">
        <v>66</v>
      </c>
      <c r="G19" s="4">
        <v>45459</v>
      </c>
      <c r="H19" s="4">
        <v>45479</v>
      </c>
      <c r="I19" s="5">
        <v>352513</v>
      </c>
      <c r="J19" s="5">
        <v>352513</v>
      </c>
      <c r="K19" s="2" t="s">
        <v>29</v>
      </c>
      <c r="L19" s="3"/>
      <c r="M19" s="2" t="s">
        <v>93</v>
      </c>
      <c r="N19" s="2"/>
    </row>
    <row r="20" spans="1:14" ht="13.5" customHeight="1" x14ac:dyDescent="0.3">
      <c r="A20" s="2" t="s">
        <v>94</v>
      </c>
      <c r="B20" s="3" t="s">
        <v>95</v>
      </c>
      <c r="C20" s="3" t="s">
        <v>16</v>
      </c>
      <c r="D20" s="3" t="s">
        <v>17</v>
      </c>
      <c r="E20" s="3" t="s">
        <v>74</v>
      </c>
      <c r="F20" s="2" t="s">
        <v>34</v>
      </c>
      <c r="G20" s="4">
        <v>45606</v>
      </c>
      <c r="H20" s="4">
        <v>45615</v>
      </c>
      <c r="I20" s="5">
        <v>272721</v>
      </c>
      <c r="J20" s="5">
        <v>272721</v>
      </c>
      <c r="K20" s="2" t="s">
        <v>67</v>
      </c>
      <c r="L20" s="3"/>
      <c r="M20" s="2" t="s">
        <v>96</v>
      </c>
      <c r="N20" s="2"/>
    </row>
    <row r="21" spans="1:14" ht="13.5" customHeight="1" x14ac:dyDescent="0.3">
      <c r="A21" s="2" t="s">
        <v>97</v>
      </c>
      <c r="B21" s="3" t="s">
        <v>98</v>
      </c>
      <c r="C21" s="3" t="s">
        <v>16</v>
      </c>
      <c r="D21" s="3" t="s">
        <v>40</v>
      </c>
      <c r="E21" s="3" t="s">
        <v>50</v>
      </c>
      <c r="F21" s="2" t="s">
        <v>81</v>
      </c>
      <c r="G21" s="4">
        <v>45495</v>
      </c>
      <c r="H21" s="4">
        <v>45504</v>
      </c>
      <c r="I21" s="5">
        <v>178703</v>
      </c>
      <c r="J21" s="5">
        <v>142057</v>
      </c>
      <c r="K21" s="2" t="s">
        <v>35</v>
      </c>
      <c r="L21" s="3"/>
      <c r="M21" s="2" t="s">
        <v>78</v>
      </c>
      <c r="N21" s="2"/>
    </row>
    <row r="22" spans="1:14" ht="13.5" customHeight="1" x14ac:dyDescent="0.3">
      <c r="A22" s="2" t="s">
        <v>99</v>
      </c>
      <c r="B22" s="3" t="s">
        <v>100</v>
      </c>
      <c r="C22" s="3" t="s">
        <v>16</v>
      </c>
      <c r="D22" s="3" t="s">
        <v>17</v>
      </c>
      <c r="E22" s="3" t="s">
        <v>74</v>
      </c>
      <c r="F22" s="2" t="s">
        <v>34</v>
      </c>
      <c r="G22" s="4">
        <v>45548</v>
      </c>
      <c r="H22" s="4">
        <v>45554</v>
      </c>
      <c r="I22" s="5">
        <v>649455</v>
      </c>
      <c r="J22" s="5">
        <v>316948</v>
      </c>
      <c r="K22" s="2" t="s">
        <v>35</v>
      </c>
      <c r="L22" s="3"/>
      <c r="M22" s="2" t="s">
        <v>44</v>
      </c>
      <c r="N22" s="2"/>
    </row>
    <row r="23" spans="1:14" ht="13.5" customHeight="1" x14ac:dyDescent="0.3">
      <c r="A23" s="2" t="s">
        <v>101</v>
      </c>
      <c r="B23" s="3" t="s">
        <v>102</v>
      </c>
      <c r="C23" s="3" t="s">
        <v>16</v>
      </c>
      <c r="D23" s="3" t="s">
        <v>40</v>
      </c>
      <c r="E23" s="3" t="s">
        <v>33</v>
      </c>
      <c r="F23" s="2" t="s">
        <v>34</v>
      </c>
      <c r="G23" s="4">
        <v>45333</v>
      </c>
      <c r="H23" s="4">
        <v>45337</v>
      </c>
      <c r="I23" s="5">
        <v>596518</v>
      </c>
      <c r="J23" s="5">
        <v>596518</v>
      </c>
      <c r="K23" s="2" t="s">
        <v>43</v>
      </c>
      <c r="L23" s="3"/>
      <c r="M23" s="2" t="s">
        <v>53</v>
      </c>
      <c r="N23" s="2"/>
    </row>
    <row r="24" spans="1:14" ht="13.5" customHeight="1" x14ac:dyDescent="0.3">
      <c r="A24" s="2" t="s">
        <v>103</v>
      </c>
      <c r="B24" s="3" t="s">
        <v>104</v>
      </c>
      <c r="C24" s="3" t="s">
        <v>25</v>
      </c>
      <c r="D24" s="3" t="s">
        <v>17</v>
      </c>
      <c r="E24" s="3" t="s">
        <v>18</v>
      </c>
      <c r="F24" s="2" t="s">
        <v>105</v>
      </c>
      <c r="G24" s="4">
        <v>45369</v>
      </c>
      <c r="H24" s="4">
        <v>45379</v>
      </c>
      <c r="I24" s="5">
        <v>331588</v>
      </c>
      <c r="J24" s="5">
        <v>0</v>
      </c>
      <c r="K24" s="2" t="s">
        <v>20</v>
      </c>
      <c r="L24" s="3" t="s">
        <v>106</v>
      </c>
      <c r="M24" s="2" t="s">
        <v>36</v>
      </c>
      <c r="N24" s="2"/>
    </row>
    <row r="25" spans="1:14" ht="13.5" customHeight="1" x14ac:dyDescent="0.3">
      <c r="A25" s="2" t="s">
        <v>107</v>
      </c>
      <c r="B25" s="3" t="s">
        <v>108</v>
      </c>
      <c r="C25" s="3" t="s">
        <v>70</v>
      </c>
      <c r="D25" s="3" t="s">
        <v>62</v>
      </c>
      <c r="E25" s="3" t="s">
        <v>41</v>
      </c>
      <c r="F25" s="2" t="s">
        <v>42</v>
      </c>
      <c r="G25" s="4">
        <v>45571</v>
      </c>
      <c r="H25" s="4">
        <v>45576</v>
      </c>
      <c r="I25" s="2"/>
      <c r="J25" s="5">
        <v>0</v>
      </c>
      <c r="K25" s="2" t="s">
        <v>20</v>
      </c>
      <c r="L25" s="3" t="s">
        <v>71</v>
      </c>
      <c r="M25" s="2" t="s">
        <v>36</v>
      </c>
      <c r="N25" s="2"/>
    </row>
    <row r="26" spans="1:14" ht="13.5" customHeight="1" x14ac:dyDescent="0.3">
      <c r="A26" s="2" t="s">
        <v>109</v>
      </c>
      <c r="B26" s="3" t="s">
        <v>110</v>
      </c>
      <c r="C26" s="3" t="s">
        <v>25</v>
      </c>
      <c r="D26" s="3" t="s">
        <v>40</v>
      </c>
      <c r="E26" s="3" t="s">
        <v>57</v>
      </c>
      <c r="F26" s="2" t="s">
        <v>58</v>
      </c>
      <c r="G26" s="4">
        <v>45605</v>
      </c>
      <c r="H26" s="4">
        <v>45618</v>
      </c>
      <c r="I26" s="5">
        <v>666971</v>
      </c>
      <c r="J26" s="5">
        <v>0</v>
      </c>
      <c r="K26" s="2" t="s">
        <v>20</v>
      </c>
      <c r="L26" s="3" t="s">
        <v>21</v>
      </c>
      <c r="M26" s="2" t="s">
        <v>36</v>
      </c>
      <c r="N26" s="2"/>
    </row>
    <row r="27" spans="1:14" ht="13.5" customHeight="1" x14ac:dyDescent="0.3">
      <c r="A27" s="2" t="s">
        <v>111</v>
      </c>
      <c r="B27" s="3" t="s">
        <v>112</v>
      </c>
      <c r="C27" s="3" t="s">
        <v>70</v>
      </c>
      <c r="D27" s="3" t="s">
        <v>40</v>
      </c>
      <c r="E27" s="3" t="s">
        <v>57</v>
      </c>
      <c r="F27" s="2" t="s">
        <v>113</v>
      </c>
      <c r="G27" s="4">
        <v>45607</v>
      </c>
      <c r="H27" s="4">
        <v>45616</v>
      </c>
      <c r="I27" s="5">
        <v>445976</v>
      </c>
      <c r="J27" s="5">
        <v>0</v>
      </c>
      <c r="K27" s="2" t="s">
        <v>20</v>
      </c>
      <c r="L27" s="3" t="s">
        <v>114</v>
      </c>
      <c r="M27" s="2" t="s">
        <v>22</v>
      </c>
      <c r="N27" s="2"/>
    </row>
    <row r="28" spans="1:14" ht="13.5" customHeight="1" x14ac:dyDescent="0.3">
      <c r="A28" s="2" t="s">
        <v>115</v>
      </c>
      <c r="B28" s="3" t="s">
        <v>116</v>
      </c>
      <c r="C28" s="3" t="s">
        <v>39</v>
      </c>
      <c r="D28" s="3" t="s">
        <v>40</v>
      </c>
      <c r="E28" s="3" t="s">
        <v>33</v>
      </c>
      <c r="F28" s="2" t="s">
        <v>47</v>
      </c>
      <c r="G28" s="4">
        <v>45472</v>
      </c>
      <c r="H28" s="4">
        <v>45474</v>
      </c>
      <c r="I28" s="5">
        <v>37135</v>
      </c>
      <c r="J28" s="5">
        <v>37135</v>
      </c>
      <c r="K28" s="2" t="s">
        <v>43</v>
      </c>
      <c r="L28" s="3"/>
      <c r="M28" s="2" t="s">
        <v>117</v>
      </c>
      <c r="N28" s="2"/>
    </row>
    <row r="29" spans="1:14" ht="13.5" customHeight="1" x14ac:dyDescent="0.3">
      <c r="A29" s="2" t="s">
        <v>118</v>
      </c>
      <c r="B29" s="3" t="s">
        <v>119</v>
      </c>
      <c r="C29" s="3" t="s">
        <v>25</v>
      </c>
      <c r="D29" s="3" t="s">
        <v>56</v>
      </c>
      <c r="E29" s="3" t="s">
        <v>27</v>
      </c>
      <c r="F29" s="2" t="s">
        <v>120</v>
      </c>
      <c r="G29" s="4">
        <v>45432</v>
      </c>
      <c r="H29" s="4">
        <v>45450</v>
      </c>
      <c r="I29" s="5">
        <v>784369</v>
      </c>
      <c r="J29" s="5">
        <v>784369</v>
      </c>
      <c r="K29" s="2" t="s">
        <v>67</v>
      </c>
      <c r="L29" s="3"/>
      <c r="M29" s="2" t="s">
        <v>121</v>
      </c>
      <c r="N29" s="2"/>
    </row>
    <row r="30" spans="1:14" ht="13.5" customHeight="1" x14ac:dyDescent="0.3">
      <c r="A30" s="2" t="s">
        <v>122</v>
      </c>
      <c r="B30" s="3" t="s">
        <v>123</v>
      </c>
      <c r="C30" s="3" t="s">
        <v>16</v>
      </c>
      <c r="D30" s="3" t="s">
        <v>26</v>
      </c>
      <c r="E30" s="3" t="s">
        <v>74</v>
      </c>
      <c r="F30" s="2" t="s">
        <v>34</v>
      </c>
      <c r="G30" s="4">
        <v>45482</v>
      </c>
      <c r="H30" s="4">
        <v>45484</v>
      </c>
      <c r="I30" s="5">
        <v>833593</v>
      </c>
      <c r="J30" s="5">
        <v>0</v>
      </c>
      <c r="K30" s="2" t="s">
        <v>20</v>
      </c>
      <c r="L30" s="3" t="s">
        <v>21</v>
      </c>
      <c r="M30" s="2" t="s">
        <v>96</v>
      </c>
      <c r="N30" s="2"/>
    </row>
    <row r="31" spans="1:14" ht="13.5" customHeight="1" x14ac:dyDescent="0.3">
      <c r="A31" s="2" t="s">
        <v>124</v>
      </c>
      <c r="B31" s="3" t="s">
        <v>125</v>
      </c>
      <c r="C31" s="3" t="s">
        <v>25</v>
      </c>
      <c r="D31" s="3" t="s">
        <v>17</v>
      </c>
      <c r="E31" s="3" t="s">
        <v>41</v>
      </c>
      <c r="F31" s="2" t="s">
        <v>42</v>
      </c>
      <c r="G31" s="4">
        <v>45608</v>
      </c>
      <c r="H31" s="4">
        <v>45615</v>
      </c>
      <c r="I31" s="5">
        <v>835385</v>
      </c>
      <c r="J31" s="5">
        <v>0</v>
      </c>
      <c r="K31" s="2" t="s">
        <v>20</v>
      </c>
      <c r="L31" s="3" t="s">
        <v>71</v>
      </c>
      <c r="M31" s="2" t="s">
        <v>88</v>
      </c>
      <c r="N31" s="2"/>
    </row>
    <row r="32" spans="1:14" ht="13.5" customHeight="1" x14ac:dyDescent="0.3">
      <c r="A32" s="2" t="s">
        <v>126</v>
      </c>
      <c r="B32" s="3" t="s">
        <v>127</v>
      </c>
      <c r="C32" s="3" t="s">
        <v>25</v>
      </c>
      <c r="D32" s="3" t="s">
        <v>56</v>
      </c>
      <c r="E32" s="3" t="s">
        <v>27</v>
      </c>
      <c r="F32" s="2" t="s">
        <v>120</v>
      </c>
      <c r="G32" s="4">
        <v>45644</v>
      </c>
      <c r="H32" s="4">
        <v>45651</v>
      </c>
      <c r="I32" s="5">
        <v>367351</v>
      </c>
      <c r="J32" s="5">
        <v>367351</v>
      </c>
      <c r="K32" s="2" t="s">
        <v>67</v>
      </c>
      <c r="L32" s="3"/>
      <c r="M32" s="2" t="s">
        <v>44</v>
      </c>
      <c r="N32" s="2"/>
    </row>
    <row r="33" spans="1:14" ht="13.5" customHeight="1" x14ac:dyDescent="0.3">
      <c r="A33" s="2" t="s">
        <v>128</v>
      </c>
      <c r="B33" s="3" t="s">
        <v>129</v>
      </c>
      <c r="C33" s="3" t="s">
        <v>39</v>
      </c>
      <c r="D33" s="3" t="s">
        <v>62</v>
      </c>
      <c r="E33" s="3" t="s">
        <v>41</v>
      </c>
      <c r="F33" s="2" t="s">
        <v>42</v>
      </c>
      <c r="G33" s="4">
        <v>45452</v>
      </c>
      <c r="H33" s="4">
        <v>45466</v>
      </c>
      <c r="I33" s="5">
        <v>110620</v>
      </c>
      <c r="J33" s="5">
        <v>110620</v>
      </c>
      <c r="K33" s="2" t="s">
        <v>43</v>
      </c>
      <c r="L33" s="3"/>
      <c r="M33" s="2" t="s">
        <v>78</v>
      </c>
      <c r="N33" s="2"/>
    </row>
    <row r="34" spans="1:14" ht="13.5" customHeight="1" x14ac:dyDescent="0.3">
      <c r="A34" s="2" t="s">
        <v>130</v>
      </c>
      <c r="B34" s="3" t="s">
        <v>131</v>
      </c>
      <c r="C34" s="3" t="s">
        <v>70</v>
      </c>
      <c r="D34" s="3" t="s">
        <v>40</v>
      </c>
      <c r="E34" s="3" t="s">
        <v>33</v>
      </c>
      <c r="F34" s="2" t="s">
        <v>34</v>
      </c>
      <c r="G34" s="4">
        <v>45584</v>
      </c>
      <c r="H34" s="4">
        <v>45586</v>
      </c>
      <c r="I34" s="5">
        <v>398487</v>
      </c>
      <c r="J34" s="5">
        <v>0</v>
      </c>
      <c r="K34" s="2" t="s">
        <v>20</v>
      </c>
      <c r="L34" s="3" t="s">
        <v>52</v>
      </c>
      <c r="M34" s="2" t="s">
        <v>132</v>
      </c>
      <c r="N34" s="2"/>
    </row>
    <row r="35" spans="1:14" ht="13.5" customHeight="1" x14ac:dyDescent="0.3">
      <c r="A35" s="2" t="s">
        <v>133</v>
      </c>
      <c r="B35" s="3" t="s">
        <v>134</v>
      </c>
      <c r="C35" s="3" t="s">
        <v>39</v>
      </c>
      <c r="D35" s="3" t="s">
        <v>40</v>
      </c>
      <c r="E35" s="3" t="s">
        <v>50</v>
      </c>
      <c r="F35" s="2" t="s">
        <v>81</v>
      </c>
      <c r="G35" s="4">
        <v>45557</v>
      </c>
      <c r="H35" s="4">
        <v>45575</v>
      </c>
      <c r="I35" s="5">
        <v>486973</v>
      </c>
      <c r="J35" s="5">
        <v>486973</v>
      </c>
      <c r="K35" s="2" t="s">
        <v>43</v>
      </c>
      <c r="L35" s="3"/>
      <c r="M35" s="2" t="s">
        <v>121</v>
      </c>
      <c r="N35" s="2"/>
    </row>
    <row r="36" spans="1:14" ht="13.5" customHeight="1" x14ac:dyDescent="0.3">
      <c r="A36" s="2" t="s">
        <v>135</v>
      </c>
      <c r="B36" s="3" t="s">
        <v>136</v>
      </c>
      <c r="C36" s="3" t="s">
        <v>70</v>
      </c>
      <c r="D36" s="3" t="s">
        <v>17</v>
      </c>
      <c r="E36" s="3" t="s">
        <v>57</v>
      </c>
      <c r="F36" s="2" t="s">
        <v>113</v>
      </c>
      <c r="G36" s="4">
        <v>45640</v>
      </c>
      <c r="H36" s="4">
        <v>45659</v>
      </c>
      <c r="I36" s="5">
        <v>496218</v>
      </c>
      <c r="J36" s="5">
        <v>496218</v>
      </c>
      <c r="K36" s="2" t="s">
        <v>29</v>
      </c>
      <c r="L36" s="3"/>
      <c r="M36" s="2" t="s">
        <v>53</v>
      </c>
      <c r="N36" s="2"/>
    </row>
    <row r="37" spans="1:14" ht="13.5" customHeight="1" x14ac:dyDescent="0.3">
      <c r="A37" s="2" t="s">
        <v>137</v>
      </c>
      <c r="B37" s="3" t="s">
        <v>138</v>
      </c>
      <c r="C37" s="3" t="s">
        <v>25</v>
      </c>
      <c r="D37" s="3" t="s">
        <v>56</v>
      </c>
      <c r="E37" s="3" t="s">
        <v>50</v>
      </c>
      <c r="F37" s="2" t="s">
        <v>51</v>
      </c>
      <c r="G37" s="4">
        <v>45548</v>
      </c>
      <c r="H37" s="4">
        <v>45565</v>
      </c>
      <c r="I37" s="2"/>
      <c r="J37" s="5">
        <v>556936</v>
      </c>
      <c r="K37" s="2" t="s">
        <v>67</v>
      </c>
      <c r="L37" s="3"/>
      <c r="M37" s="2" t="s">
        <v>121</v>
      </c>
      <c r="N37" s="2"/>
    </row>
    <row r="38" spans="1:14" ht="13.5" customHeight="1" x14ac:dyDescent="0.3">
      <c r="A38" s="2" t="s">
        <v>139</v>
      </c>
      <c r="B38" s="3" t="s">
        <v>140</v>
      </c>
      <c r="C38" s="3" t="s">
        <v>25</v>
      </c>
      <c r="D38" s="3" t="s">
        <v>62</v>
      </c>
      <c r="E38" s="3" t="s">
        <v>33</v>
      </c>
      <c r="F38" s="2" t="s">
        <v>47</v>
      </c>
      <c r="G38" s="4">
        <v>45417</v>
      </c>
      <c r="H38" s="4"/>
      <c r="I38" s="5">
        <v>915513</v>
      </c>
      <c r="J38" s="2"/>
      <c r="K38" s="2" t="s">
        <v>75</v>
      </c>
      <c r="L38" s="3"/>
      <c r="M38" s="2" t="s">
        <v>88</v>
      </c>
      <c r="N38" s="2"/>
    </row>
    <row r="39" spans="1:14" ht="13.5" customHeight="1" x14ac:dyDescent="0.3">
      <c r="A39" s="2" t="s">
        <v>141</v>
      </c>
      <c r="B39" s="3" t="s">
        <v>142</v>
      </c>
      <c r="C39" s="3" t="s">
        <v>25</v>
      </c>
      <c r="D39" s="3" t="s">
        <v>40</v>
      </c>
      <c r="E39" s="3" t="s">
        <v>41</v>
      </c>
      <c r="F39" s="2" t="s">
        <v>143</v>
      </c>
      <c r="G39" s="4">
        <v>45563</v>
      </c>
      <c r="H39" s="4">
        <v>45567</v>
      </c>
      <c r="I39" s="5">
        <v>711834</v>
      </c>
      <c r="J39" s="5">
        <v>711834</v>
      </c>
      <c r="K39" s="2" t="s">
        <v>29</v>
      </c>
      <c r="L39" s="3"/>
      <c r="M39" s="2" t="s">
        <v>144</v>
      </c>
      <c r="N39" s="2"/>
    </row>
    <row r="40" spans="1:14" ht="13.5" customHeight="1" x14ac:dyDescent="0.3">
      <c r="A40" s="2" t="s">
        <v>145</v>
      </c>
      <c r="B40" s="3" t="s">
        <v>146</v>
      </c>
      <c r="C40" s="3" t="s">
        <v>25</v>
      </c>
      <c r="D40" s="3" t="s">
        <v>62</v>
      </c>
      <c r="E40" s="3" t="s">
        <v>18</v>
      </c>
      <c r="F40" s="2" t="s">
        <v>19</v>
      </c>
      <c r="G40" s="4">
        <v>45559</v>
      </c>
      <c r="H40" s="4">
        <v>45577</v>
      </c>
      <c r="I40" s="5">
        <v>702262</v>
      </c>
      <c r="J40" s="5">
        <v>702262</v>
      </c>
      <c r="K40" s="2" t="s">
        <v>29</v>
      </c>
      <c r="L40" s="3"/>
      <c r="M40" s="2" t="s">
        <v>22</v>
      </c>
      <c r="N40" s="2"/>
    </row>
    <row r="41" spans="1:14" ht="13.5" customHeight="1" x14ac:dyDescent="0.3">
      <c r="A41" s="2" t="s">
        <v>147</v>
      </c>
      <c r="B41" s="3" t="s">
        <v>148</v>
      </c>
      <c r="C41" s="3" t="s">
        <v>39</v>
      </c>
      <c r="D41" s="3" t="s">
        <v>62</v>
      </c>
      <c r="E41" s="3" t="s">
        <v>18</v>
      </c>
      <c r="F41" s="2" t="s">
        <v>105</v>
      </c>
      <c r="G41" s="4">
        <v>45524</v>
      </c>
      <c r="H41" s="4">
        <v>45533</v>
      </c>
      <c r="I41" s="5">
        <v>446053</v>
      </c>
      <c r="J41" s="5">
        <v>446053</v>
      </c>
      <c r="K41" s="2" t="s">
        <v>43</v>
      </c>
      <c r="L41" s="3"/>
      <c r="M41" s="2" t="s">
        <v>96</v>
      </c>
      <c r="N41" s="2"/>
    </row>
    <row r="42" spans="1:14" ht="13.5" customHeight="1" x14ac:dyDescent="0.3">
      <c r="A42" s="2" t="s">
        <v>149</v>
      </c>
      <c r="B42" s="3" t="s">
        <v>150</v>
      </c>
      <c r="C42" s="3" t="s">
        <v>39</v>
      </c>
      <c r="D42" s="3" t="s">
        <v>17</v>
      </c>
      <c r="E42" s="3" t="s">
        <v>41</v>
      </c>
      <c r="F42" s="2" t="s">
        <v>42</v>
      </c>
      <c r="G42" s="4">
        <v>45376</v>
      </c>
      <c r="H42" s="4">
        <v>45390</v>
      </c>
      <c r="I42" s="5">
        <v>27407</v>
      </c>
      <c r="J42" s="5">
        <v>21070</v>
      </c>
      <c r="K42" s="2" t="s">
        <v>35</v>
      </c>
      <c r="L42" s="3"/>
      <c r="M42" s="2" t="s">
        <v>132</v>
      </c>
      <c r="N42" s="2"/>
    </row>
    <row r="43" spans="1:14" ht="13.5" customHeight="1" x14ac:dyDescent="0.3">
      <c r="A43" s="2" t="s">
        <v>151</v>
      </c>
      <c r="B43" s="3" t="s">
        <v>152</v>
      </c>
      <c r="C43" s="3" t="s">
        <v>39</v>
      </c>
      <c r="D43" s="3" t="s">
        <v>26</v>
      </c>
      <c r="E43" s="3" t="s">
        <v>57</v>
      </c>
      <c r="F43" s="2" t="s">
        <v>58</v>
      </c>
      <c r="G43" s="4">
        <v>45626</v>
      </c>
      <c r="H43" s="4">
        <v>45637</v>
      </c>
      <c r="I43" s="5">
        <v>790561</v>
      </c>
      <c r="J43" s="5">
        <v>422007</v>
      </c>
      <c r="K43" s="2" t="s">
        <v>35</v>
      </c>
      <c r="L43" s="3"/>
      <c r="M43" s="2" t="s">
        <v>78</v>
      </c>
      <c r="N43" s="2"/>
    </row>
    <row r="44" spans="1:14" ht="13.5" customHeight="1" x14ac:dyDescent="0.3">
      <c r="A44" s="2" t="s">
        <v>153</v>
      </c>
      <c r="B44" s="3" t="s">
        <v>154</v>
      </c>
      <c r="C44" s="3" t="s">
        <v>25</v>
      </c>
      <c r="D44" s="3" t="s">
        <v>17</v>
      </c>
      <c r="E44" s="3" t="s">
        <v>57</v>
      </c>
      <c r="F44" s="2" t="s">
        <v>113</v>
      </c>
      <c r="G44" s="4">
        <v>45603</v>
      </c>
      <c r="H44" s="4">
        <v>45607</v>
      </c>
      <c r="I44" s="5">
        <v>922767</v>
      </c>
      <c r="J44" s="5">
        <v>922767</v>
      </c>
      <c r="K44" s="2" t="s">
        <v>67</v>
      </c>
      <c r="L44" s="3"/>
      <c r="M44" s="2" t="s">
        <v>59</v>
      </c>
      <c r="N44" s="2"/>
    </row>
    <row r="45" spans="1:14" ht="13.5" customHeight="1" x14ac:dyDescent="0.3">
      <c r="A45" s="2" t="s">
        <v>155</v>
      </c>
      <c r="B45" s="3" t="s">
        <v>156</v>
      </c>
      <c r="C45" s="3" t="s">
        <v>25</v>
      </c>
      <c r="D45" s="3" t="s">
        <v>17</v>
      </c>
      <c r="E45" s="3" t="s">
        <v>57</v>
      </c>
      <c r="F45" s="2" t="s">
        <v>66</v>
      </c>
      <c r="G45" s="4">
        <v>45458</v>
      </c>
      <c r="H45" s="4">
        <v>45463</v>
      </c>
      <c r="I45" s="5">
        <v>882716</v>
      </c>
      <c r="J45" s="5">
        <v>882716</v>
      </c>
      <c r="K45" s="2" t="s">
        <v>29</v>
      </c>
      <c r="L45" s="3"/>
      <c r="M45" s="2" t="s">
        <v>44</v>
      </c>
      <c r="N45" s="2"/>
    </row>
    <row r="46" spans="1:14" ht="13.5" customHeight="1" x14ac:dyDescent="0.3">
      <c r="A46" s="2" t="s">
        <v>157</v>
      </c>
      <c r="B46" s="3" t="s">
        <v>158</v>
      </c>
      <c r="C46" s="3" t="s">
        <v>16</v>
      </c>
      <c r="D46" s="3" t="s">
        <v>62</v>
      </c>
      <c r="E46" s="3" t="s">
        <v>41</v>
      </c>
      <c r="F46" s="2" t="s">
        <v>143</v>
      </c>
      <c r="G46" s="4">
        <v>45433</v>
      </c>
      <c r="H46" s="4">
        <v>45447</v>
      </c>
      <c r="I46" s="5">
        <v>152781</v>
      </c>
      <c r="J46" s="5">
        <v>0</v>
      </c>
      <c r="K46" s="2" t="s">
        <v>20</v>
      </c>
      <c r="L46" s="3" t="s">
        <v>21</v>
      </c>
      <c r="M46" s="2" t="s">
        <v>36</v>
      </c>
      <c r="N46" s="2"/>
    </row>
    <row r="47" spans="1:14" ht="13.5" customHeight="1" x14ac:dyDescent="0.3">
      <c r="A47" s="2" t="s">
        <v>159</v>
      </c>
      <c r="B47" s="3" t="s">
        <v>160</v>
      </c>
      <c r="C47" s="3" t="s">
        <v>70</v>
      </c>
      <c r="D47" s="3" t="s">
        <v>62</v>
      </c>
      <c r="E47" s="3" t="s">
        <v>74</v>
      </c>
      <c r="F47" s="2" t="s">
        <v>47</v>
      </c>
      <c r="G47" s="4">
        <v>45639</v>
      </c>
      <c r="H47" s="4">
        <v>45648</v>
      </c>
      <c r="I47" s="5">
        <v>666767</v>
      </c>
      <c r="J47" s="5">
        <v>0</v>
      </c>
      <c r="K47" s="2" t="s">
        <v>20</v>
      </c>
      <c r="L47" s="3" t="s">
        <v>71</v>
      </c>
      <c r="M47" s="2" t="s">
        <v>144</v>
      </c>
      <c r="N47" s="2"/>
    </row>
    <row r="48" spans="1:14" ht="13.5" customHeight="1" x14ac:dyDescent="0.3">
      <c r="A48" s="2" t="s">
        <v>161</v>
      </c>
      <c r="B48" s="3" t="s">
        <v>162</v>
      </c>
      <c r="C48" s="3" t="s">
        <v>39</v>
      </c>
      <c r="D48" s="3" t="s">
        <v>17</v>
      </c>
      <c r="E48" s="3" t="s">
        <v>33</v>
      </c>
      <c r="F48" s="2" t="s">
        <v>163</v>
      </c>
      <c r="G48" s="4">
        <v>45380</v>
      </c>
      <c r="H48" s="4">
        <v>45384</v>
      </c>
      <c r="I48" s="5">
        <v>768420</v>
      </c>
      <c r="J48" s="5">
        <v>768420</v>
      </c>
      <c r="K48" s="2" t="s">
        <v>43</v>
      </c>
      <c r="L48" s="3"/>
      <c r="M48" s="2" t="s">
        <v>53</v>
      </c>
      <c r="N48" s="2"/>
    </row>
    <row r="49" spans="1:14" ht="13.5" customHeight="1" x14ac:dyDescent="0.3">
      <c r="A49" s="2" t="s">
        <v>164</v>
      </c>
      <c r="B49" s="3" t="s">
        <v>165</v>
      </c>
      <c r="C49" s="3" t="s">
        <v>25</v>
      </c>
      <c r="D49" s="3" t="s">
        <v>56</v>
      </c>
      <c r="E49" s="3" t="s">
        <v>27</v>
      </c>
      <c r="F49" s="2" t="s">
        <v>28</v>
      </c>
      <c r="G49" s="4">
        <v>45421</v>
      </c>
      <c r="H49" s="4">
        <v>45446</v>
      </c>
      <c r="I49" s="5">
        <v>668368</v>
      </c>
      <c r="J49" s="5">
        <v>486772</v>
      </c>
      <c r="K49" s="2" t="s">
        <v>35</v>
      </c>
      <c r="L49" s="3"/>
      <c r="M49" s="2" t="s">
        <v>144</v>
      </c>
      <c r="N49" s="2"/>
    </row>
    <row r="50" spans="1:14" ht="13.5" customHeight="1" x14ac:dyDescent="0.3">
      <c r="A50" s="2" t="s">
        <v>166</v>
      </c>
      <c r="B50" s="3" t="s">
        <v>167</v>
      </c>
      <c r="C50" s="3" t="s">
        <v>16</v>
      </c>
      <c r="D50" s="3" t="s">
        <v>62</v>
      </c>
      <c r="E50" s="3" t="s">
        <v>33</v>
      </c>
      <c r="F50" s="2" t="s">
        <v>34</v>
      </c>
      <c r="G50" s="4">
        <v>45458</v>
      </c>
      <c r="H50" s="4"/>
      <c r="I50" s="5">
        <v>155221</v>
      </c>
      <c r="J50" s="2"/>
      <c r="K50" s="2" t="s">
        <v>75</v>
      </c>
      <c r="L50" s="3"/>
      <c r="M50" s="2" t="s">
        <v>53</v>
      </c>
      <c r="N50" s="2"/>
    </row>
    <row r="51" spans="1:14" ht="13.5" customHeight="1" x14ac:dyDescent="0.3">
      <c r="A51" s="2" t="s">
        <v>168</v>
      </c>
      <c r="B51" s="3" t="s">
        <v>169</v>
      </c>
      <c r="C51" s="3" t="s">
        <v>16</v>
      </c>
      <c r="D51" s="3" t="s">
        <v>40</v>
      </c>
      <c r="E51" s="3" t="s">
        <v>18</v>
      </c>
      <c r="F51" s="2" t="s">
        <v>105</v>
      </c>
      <c r="G51" s="4">
        <v>45307</v>
      </c>
      <c r="H51" s="4">
        <v>45319</v>
      </c>
      <c r="I51" s="5">
        <v>732517</v>
      </c>
      <c r="J51" s="5">
        <v>732517</v>
      </c>
      <c r="K51" s="2" t="s">
        <v>43</v>
      </c>
      <c r="L51" s="3"/>
      <c r="M51" s="2" t="s">
        <v>96</v>
      </c>
      <c r="N51" s="2"/>
    </row>
    <row r="52" spans="1:14" ht="13.5" customHeight="1" x14ac:dyDescent="0.3">
      <c r="A52" s="2" t="s">
        <v>170</v>
      </c>
      <c r="B52" s="3" t="s">
        <v>171</v>
      </c>
      <c r="C52" s="3" t="s">
        <v>39</v>
      </c>
      <c r="D52" s="3" t="s">
        <v>26</v>
      </c>
      <c r="E52" s="3" t="s">
        <v>33</v>
      </c>
      <c r="F52" s="2" t="s">
        <v>47</v>
      </c>
      <c r="G52" s="4">
        <v>45523</v>
      </c>
      <c r="H52" s="4">
        <v>45524</v>
      </c>
      <c r="I52" s="5">
        <v>666261</v>
      </c>
      <c r="J52" s="5">
        <v>0</v>
      </c>
      <c r="K52" s="2" t="s">
        <v>20</v>
      </c>
      <c r="L52" s="3" t="s">
        <v>52</v>
      </c>
      <c r="M52" s="2" t="s">
        <v>121</v>
      </c>
      <c r="N52" s="2"/>
    </row>
    <row r="53" spans="1:14" ht="13.5" customHeight="1" x14ac:dyDescent="0.3">
      <c r="A53" s="2" t="s">
        <v>172</v>
      </c>
      <c r="B53" s="3" t="s">
        <v>173</v>
      </c>
      <c r="C53" s="3" t="s">
        <v>16</v>
      </c>
      <c r="D53" s="3" t="s">
        <v>17</v>
      </c>
      <c r="E53" s="3" t="s">
        <v>27</v>
      </c>
      <c r="F53" s="2" t="s">
        <v>120</v>
      </c>
      <c r="G53" s="4">
        <v>45409</v>
      </c>
      <c r="H53" s="4">
        <v>45424</v>
      </c>
      <c r="I53" s="5">
        <v>692180</v>
      </c>
      <c r="J53" s="5">
        <v>0</v>
      </c>
      <c r="K53" s="2" t="s">
        <v>20</v>
      </c>
      <c r="L53" s="3" t="s">
        <v>52</v>
      </c>
      <c r="M53" s="2" t="s">
        <v>30</v>
      </c>
      <c r="N53" s="2"/>
    </row>
    <row r="54" spans="1:14" ht="13.5" customHeight="1" x14ac:dyDescent="0.3">
      <c r="A54" s="2" t="s">
        <v>174</v>
      </c>
      <c r="B54" s="3" t="s">
        <v>175</v>
      </c>
      <c r="C54" s="3" t="s">
        <v>70</v>
      </c>
      <c r="D54" s="3" t="s">
        <v>26</v>
      </c>
      <c r="E54" s="3" t="s">
        <v>41</v>
      </c>
      <c r="F54" s="2" t="s">
        <v>143</v>
      </c>
      <c r="G54" s="4">
        <v>45592</v>
      </c>
      <c r="H54" s="4">
        <v>45598</v>
      </c>
      <c r="I54" s="5">
        <v>214202</v>
      </c>
      <c r="J54" s="5">
        <v>214202</v>
      </c>
      <c r="K54" s="2" t="s">
        <v>67</v>
      </c>
      <c r="L54" s="3"/>
      <c r="M54" s="2" t="s">
        <v>117</v>
      </c>
      <c r="N54" s="2"/>
    </row>
    <row r="55" spans="1:14" ht="13.5" customHeight="1" x14ac:dyDescent="0.3">
      <c r="A55" s="2" t="s">
        <v>176</v>
      </c>
      <c r="B55" s="3" t="s">
        <v>177</v>
      </c>
      <c r="C55" s="3" t="s">
        <v>39</v>
      </c>
      <c r="D55" s="3" t="s">
        <v>26</v>
      </c>
      <c r="E55" s="3" t="s">
        <v>50</v>
      </c>
      <c r="F55" s="2" t="s">
        <v>51</v>
      </c>
      <c r="G55" s="4">
        <v>45484</v>
      </c>
      <c r="H55" s="4">
        <v>45501</v>
      </c>
      <c r="I55" s="5">
        <v>128668</v>
      </c>
      <c r="J55" s="5">
        <v>128668</v>
      </c>
      <c r="K55" s="2" t="s">
        <v>29</v>
      </c>
      <c r="L55" s="3"/>
      <c r="M55" s="2" t="s">
        <v>63</v>
      </c>
      <c r="N55" s="2"/>
    </row>
    <row r="56" spans="1:14" ht="13.5" customHeight="1" x14ac:dyDescent="0.3">
      <c r="A56" s="2" t="s">
        <v>178</v>
      </c>
      <c r="B56" s="3" t="s">
        <v>179</v>
      </c>
      <c r="C56" s="3" t="s">
        <v>39</v>
      </c>
      <c r="D56" s="3" t="s">
        <v>62</v>
      </c>
      <c r="E56" s="3" t="s">
        <v>33</v>
      </c>
      <c r="F56" s="2" t="s">
        <v>163</v>
      </c>
      <c r="G56" s="4">
        <v>45564</v>
      </c>
      <c r="H56" s="4">
        <v>45570</v>
      </c>
      <c r="I56" s="5">
        <v>257213</v>
      </c>
      <c r="J56" s="5">
        <v>257213</v>
      </c>
      <c r="K56" s="2" t="s">
        <v>67</v>
      </c>
      <c r="L56" s="3"/>
      <c r="M56" s="2" t="s">
        <v>88</v>
      </c>
      <c r="N56" s="2"/>
    </row>
    <row r="57" spans="1:14" ht="13.5" customHeight="1" x14ac:dyDescent="0.3">
      <c r="A57" s="2" t="s">
        <v>180</v>
      </c>
      <c r="B57" s="3" t="s">
        <v>181</v>
      </c>
      <c r="C57" s="3" t="s">
        <v>25</v>
      </c>
      <c r="D57" s="3" t="s">
        <v>62</v>
      </c>
      <c r="E57" s="3" t="s">
        <v>74</v>
      </c>
      <c r="F57" s="2" t="s">
        <v>47</v>
      </c>
      <c r="G57" s="4">
        <v>45346</v>
      </c>
      <c r="H57" s="4">
        <v>45348</v>
      </c>
      <c r="I57" s="2"/>
      <c r="J57" s="5">
        <v>125408</v>
      </c>
      <c r="K57" s="2" t="s">
        <v>67</v>
      </c>
      <c r="L57" s="3"/>
      <c r="M57" s="2" t="s">
        <v>63</v>
      </c>
      <c r="N57" s="2"/>
    </row>
    <row r="58" spans="1:14" ht="13.5" customHeight="1" x14ac:dyDescent="0.3">
      <c r="A58" s="2" t="s">
        <v>182</v>
      </c>
      <c r="B58" s="3" t="s">
        <v>183</v>
      </c>
      <c r="C58" s="3" t="s">
        <v>25</v>
      </c>
      <c r="D58" s="3" t="s">
        <v>56</v>
      </c>
      <c r="E58" s="3" t="s">
        <v>33</v>
      </c>
      <c r="F58" s="2" t="s">
        <v>47</v>
      </c>
      <c r="G58" s="4">
        <v>45595</v>
      </c>
      <c r="H58" s="4"/>
      <c r="I58" s="5">
        <v>145262</v>
      </c>
      <c r="J58" s="2"/>
      <c r="K58" s="2" t="s">
        <v>75</v>
      </c>
      <c r="L58" s="3"/>
      <c r="M58" s="2" t="s">
        <v>96</v>
      </c>
      <c r="N58" s="2"/>
    </row>
    <row r="59" spans="1:14" ht="13.5" customHeight="1" x14ac:dyDescent="0.3">
      <c r="A59" s="2" t="s">
        <v>184</v>
      </c>
      <c r="B59" s="3" t="s">
        <v>185</v>
      </c>
      <c r="C59" s="3" t="s">
        <v>39</v>
      </c>
      <c r="D59" s="3" t="s">
        <v>56</v>
      </c>
      <c r="E59" s="3" t="s">
        <v>33</v>
      </c>
      <c r="F59" s="2" t="s">
        <v>34</v>
      </c>
      <c r="G59" s="4">
        <v>45395</v>
      </c>
      <c r="H59" s="4">
        <v>45407</v>
      </c>
      <c r="I59" s="5">
        <v>12573</v>
      </c>
      <c r="J59" s="5">
        <v>12573</v>
      </c>
      <c r="K59" s="2" t="s">
        <v>67</v>
      </c>
      <c r="L59" s="3"/>
      <c r="M59" s="2" t="s">
        <v>121</v>
      </c>
      <c r="N59" s="2"/>
    </row>
    <row r="60" spans="1:14" ht="13.5" customHeight="1" x14ac:dyDescent="0.3">
      <c r="A60" s="2" t="s">
        <v>186</v>
      </c>
      <c r="B60" s="3" t="s">
        <v>187</v>
      </c>
      <c r="C60" s="3" t="s">
        <v>25</v>
      </c>
      <c r="D60" s="3" t="s">
        <v>56</v>
      </c>
      <c r="E60" s="3" t="s">
        <v>33</v>
      </c>
      <c r="F60" s="2" t="s">
        <v>47</v>
      </c>
      <c r="G60" s="4">
        <v>45525</v>
      </c>
      <c r="H60" s="4">
        <v>45543</v>
      </c>
      <c r="I60" s="5">
        <v>127714</v>
      </c>
      <c r="J60" s="5">
        <v>48107</v>
      </c>
      <c r="K60" s="2" t="s">
        <v>35</v>
      </c>
      <c r="L60" s="3"/>
      <c r="M60" s="2" t="s">
        <v>93</v>
      </c>
      <c r="N60" s="2"/>
    </row>
    <row r="61" spans="1:14" ht="13.5" customHeight="1" x14ac:dyDescent="0.3">
      <c r="A61" s="2" t="s">
        <v>188</v>
      </c>
      <c r="B61" s="3" t="s">
        <v>189</v>
      </c>
      <c r="C61" s="3" t="s">
        <v>70</v>
      </c>
      <c r="D61" s="3" t="s">
        <v>17</v>
      </c>
      <c r="E61" s="3" t="s">
        <v>41</v>
      </c>
      <c r="F61" s="2" t="s">
        <v>42</v>
      </c>
      <c r="G61" s="4">
        <v>45496</v>
      </c>
      <c r="H61" s="4">
        <v>45509</v>
      </c>
      <c r="I61" s="5">
        <v>673100</v>
      </c>
      <c r="J61" s="5">
        <v>673100</v>
      </c>
      <c r="K61" s="2" t="s">
        <v>29</v>
      </c>
      <c r="L61" s="3"/>
      <c r="M61" s="2" t="s">
        <v>59</v>
      </c>
      <c r="N61" s="2"/>
    </row>
    <row r="62" spans="1:14" ht="13.5" customHeight="1" x14ac:dyDescent="0.3">
      <c r="A62" s="2" t="s">
        <v>190</v>
      </c>
      <c r="B62" s="3" t="s">
        <v>191</v>
      </c>
      <c r="C62" s="3" t="s">
        <v>70</v>
      </c>
      <c r="D62" s="3" t="s">
        <v>56</v>
      </c>
      <c r="E62" s="3" t="s">
        <v>50</v>
      </c>
      <c r="F62" s="2" t="s">
        <v>51</v>
      </c>
      <c r="G62" s="4">
        <v>45489</v>
      </c>
      <c r="H62" s="4"/>
      <c r="I62" s="5">
        <v>458822</v>
      </c>
      <c r="J62" s="2"/>
      <c r="K62" s="2" t="s">
        <v>75</v>
      </c>
      <c r="L62" s="3"/>
      <c r="M62" s="2" t="s">
        <v>22</v>
      </c>
      <c r="N62" s="2"/>
    </row>
    <row r="63" spans="1:14" ht="13.5" customHeight="1" x14ac:dyDescent="0.3">
      <c r="A63" s="2" t="s">
        <v>192</v>
      </c>
      <c r="B63" s="3" t="s">
        <v>193</v>
      </c>
      <c r="C63" s="3" t="s">
        <v>70</v>
      </c>
      <c r="D63" s="3" t="s">
        <v>62</v>
      </c>
      <c r="E63" s="3" t="s">
        <v>50</v>
      </c>
      <c r="F63" s="2" t="s">
        <v>51</v>
      </c>
      <c r="G63" s="4">
        <v>45297</v>
      </c>
      <c r="H63" s="4"/>
      <c r="I63" s="5">
        <v>329640</v>
      </c>
      <c r="J63" s="2"/>
      <c r="K63" s="2" t="s">
        <v>75</v>
      </c>
      <c r="L63" s="3"/>
      <c r="M63" s="2" t="s">
        <v>117</v>
      </c>
      <c r="N63" s="2"/>
    </row>
    <row r="64" spans="1:14" ht="13.5" customHeight="1" x14ac:dyDescent="0.3">
      <c r="A64" s="2" t="s">
        <v>194</v>
      </c>
      <c r="B64" s="3" t="s">
        <v>195</v>
      </c>
      <c r="C64" s="3" t="s">
        <v>70</v>
      </c>
      <c r="D64" s="3" t="s">
        <v>62</v>
      </c>
      <c r="E64" s="3" t="s">
        <v>27</v>
      </c>
      <c r="F64" s="2" t="s">
        <v>28</v>
      </c>
      <c r="G64" s="4">
        <v>45468</v>
      </c>
      <c r="H64" s="4">
        <v>45471</v>
      </c>
      <c r="I64" s="5">
        <v>742778</v>
      </c>
      <c r="J64" s="5">
        <v>233504</v>
      </c>
      <c r="K64" s="2" t="s">
        <v>35</v>
      </c>
      <c r="L64" s="3"/>
      <c r="M64" s="2" t="s">
        <v>30</v>
      </c>
      <c r="N64" s="2"/>
    </row>
    <row r="65" spans="1:14" ht="13.5" customHeight="1" x14ac:dyDescent="0.3">
      <c r="A65" s="2" t="s">
        <v>196</v>
      </c>
      <c r="B65" s="3" t="s">
        <v>197</v>
      </c>
      <c r="C65" s="3" t="s">
        <v>39</v>
      </c>
      <c r="D65" s="3" t="s">
        <v>56</v>
      </c>
      <c r="E65" s="3" t="s">
        <v>50</v>
      </c>
      <c r="F65" s="2" t="s">
        <v>81</v>
      </c>
      <c r="G65" s="4">
        <v>45503</v>
      </c>
      <c r="H65" s="4">
        <v>45504</v>
      </c>
      <c r="I65" s="5">
        <v>515919</v>
      </c>
      <c r="J65" s="5">
        <v>515919</v>
      </c>
      <c r="K65" s="2" t="s">
        <v>43</v>
      </c>
      <c r="L65" s="3"/>
      <c r="M65" s="2" t="s">
        <v>36</v>
      </c>
      <c r="N65" s="2"/>
    </row>
    <row r="66" spans="1:14" ht="13.5" customHeight="1" x14ac:dyDescent="0.3">
      <c r="A66" s="2" t="s">
        <v>198</v>
      </c>
      <c r="B66" s="3" t="s">
        <v>199</v>
      </c>
      <c r="C66" s="3" t="s">
        <v>25</v>
      </c>
      <c r="D66" s="3" t="s">
        <v>40</v>
      </c>
      <c r="E66" s="3" t="s">
        <v>33</v>
      </c>
      <c r="F66" s="2" t="s">
        <v>163</v>
      </c>
      <c r="G66" s="4">
        <v>45426</v>
      </c>
      <c r="H66" s="4">
        <v>45447</v>
      </c>
      <c r="I66" s="5">
        <v>335147</v>
      </c>
      <c r="J66" s="5">
        <v>335147</v>
      </c>
      <c r="K66" s="2" t="s">
        <v>67</v>
      </c>
      <c r="L66" s="3"/>
      <c r="M66" s="2" t="s">
        <v>88</v>
      </c>
      <c r="N66" s="2"/>
    </row>
    <row r="67" spans="1:14" ht="13.5" customHeight="1" x14ac:dyDescent="0.3">
      <c r="A67" s="2" t="s">
        <v>200</v>
      </c>
      <c r="B67" s="3" t="s">
        <v>201</v>
      </c>
      <c r="C67" s="3" t="s">
        <v>70</v>
      </c>
      <c r="D67" s="3" t="s">
        <v>26</v>
      </c>
      <c r="E67" s="3" t="s">
        <v>33</v>
      </c>
      <c r="F67" s="2" t="s">
        <v>163</v>
      </c>
      <c r="G67" s="4">
        <v>45391</v>
      </c>
      <c r="H67" s="4">
        <v>45405</v>
      </c>
      <c r="I67" s="5">
        <v>686605</v>
      </c>
      <c r="J67" s="5">
        <v>686605</v>
      </c>
      <c r="K67" s="2" t="s">
        <v>43</v>
      </c>
      <c r="L67" s="3"/>
      <c r="M67" s="2" t="s">
        <v>36</v>
      </c>
      <c r="N67" s="2"/>
    </row>
    <row r="68" spans="1:14" ht="13.5" customHeight="1" x14ac:dyDescent="0.3">
      <c r="A68" s="2" t="s">
        <v>202</v>
      </c>
      <c r="B68" s="3" t="s">
        <v>203</v>
      </c>
      <c r="C68" s="3" t="s">
        <v>39</v>
      </c>
      <c r="D68" s="3" t="s">
        <v>62</v>
      </c>
      <c r="E68" s="3" t="s">
        <v>50</v>
      </c>
      <c r="F68" s="2" t="s">
        <v>51</v>
      </c>
      <c r="G68" s="4">
        <v>45488</v>
      </c>
      <c r="H68" s="4">
        <v>45501</v>
      </c>
      <c r="I68" s="5">
        <v>228206</v>
      </c>
      <c r="J68" s="5">
        <v>228206</v>
      </c>
      <c r="K68" s="2" t="s">
        <v>43</v>
      </c>
      <c r="L68" s="3"/>
      <c r="M68" s="2" t="s">
        <v>88</v>
      </c>
      <c r="N68" s="2"/>
    </row>
    <row r="69" spans="1:14" ht="13.5" customHeight="1" x14ac:dyDescent="0.3">
      <c r="A69" s="2" t="s">
        <v>204</v>
      </c>
      <c r="B69" s="3" t="s">
        <v>205</v>
      </c>
      <c r="C69" s="3" t="s">
        <v>25</v>
      </c>
      <c r="D69" s="3" t="s">
        <v>26</v>
      </c>
      <c r="E69" s="3" t="s">
        <v>41</v>
      </c>
      <c r="F69" s="2" t="s">
        <v>42</v>
      </c>
      <c r="G69" s="4">
        <v>45292</v>
      </c>
      <c r="H69" s="4">
        <v>45294</v>
      </c>
      <c r="I69" s="5">
        <v>308244</v>
      </c>
      <c r="J69" s="5">
        <v>308244</v>
      </c>
      <c r="K69" s="2" t="s">
        <v>43</v>
      </c>
      <c r="L69" s="3"/>
      <c r="M69" s="2" t="s">
        <v>132</v>
      </c>
      <c r="N69" s="2"/>
    </row>
    <row r="70" spans="1:14" ht="13.5" customHeight="1" x14ac:dyDescent="0.3">
      <c r="A70" s="2" t="s">
        <v>206</v>
      </c>
      <c r="B70" s="3" t="s">
        <v>207</v>
      </c>
      <c r="C70" s="3" t="s">
        <v>70</v>
      </c>
      <c r="D70" s="3" t="s">
        <v>62</v>
      </c>
      <c r="E70" s="3" t="s">
        <v>74</v>
      </c>
      <c r="F70" s="2" t="s">
        <v>47</v>
      </c>
      <c r="G70" s="4">
        <v>45536</v>
      </c>
      <c r="H70" s="4">
        <v>45557</v>
      </c>
      <c r="I70" s="5">
        <v>838437</v>
      </c>
      <c r="J70" s="5">
        <v>838437</v>
      </c>
      <c r="K70" s="2" t="s">
        <v>67</v>
      </c>
      <c r="L70" s="3"/>
      <c r="M70" s="2" t="s">
        <v>53</v>
      </c>
      <c r="N70" s="2"/>
    </row>
    <row r="71" spans="1:14" ht="13.5" customHeight="1" x14ac:dyDescent="0.3">
      <c r="A71" s="2" t="s">
        <v>208</v>
      </c>
      <c r="B71" s="3" t="s">
        <v>209</v>
      </c>
      <c r="C71" s="3" t="s">
        <v>70</v>
      </c>
      <c r="D71" s="3" t="s">
        <v>17</v>
      </c>
      <c r="E71" s="3" t="s">
        <v>50</v>
      </c>
      <c r="F71" s="2" t="s">
        <v>51</v>
      </c>
      <c r="G71" s="4">
        <v>45650</v>
      </c>
      <c r="H71" s="4"/>
      <c r="I71" s="5">
        <v>154074</v>
      </c>
      <c r="J71" s="2"/>
      <c r="K71" s="2" t="s">
        <v>75</v>
      </c>
      <c r="L71" s="3"/>
      <c r="M71" s="2" t="s">
        <v>88</v>
      </c>
      <c r="N71" s="2"/>
    </row>
    <row r="72" spans="1:14" ht="13.5" customHeight="1" x14ac:dyDescent="0.3">
      <c r="A72" s="2" t="s">
        <v>210</v>
      </c>
      <c r="B72" s="3" t="s">
        <v>211</v>
      </c>
      <c r="C72" s="3" t="s">
        <v>70</v>
      </c>
      <c r="D72" s="3" t="s">
        <v>62</v>
      </c>
      <c r="E72" s="3" t="s">
        <v>50</v>
      </c>
      <c r="F72" s="2" t="s">
        <v>51</v>
      </c>
      <c r="G72" s="4">
        <v>45320</v>
      </c>
      <c r="H72" s="4">
        <v>45330</v>
      </c>
      <c r="I72" s="5">
        <v>359503</v>
      </c>
      <c r="J72" s="5">
        <v>359503</v>
      </c>
      <c r="K72" s="2" t="s">
        <v>29</v>
      </c>
      <c r="L72" s="3"/>
      <c r="M72" s="2" t="s">
        <v>63</v>
      </c>
      <c r="N72" s="2"/>
    </row>
    <row r="73" spans="1:14" ht="13.5" customHeight="1" x14ac:dyDescent="0.3">
      <c r="A73" s="2" t="s">
        <v>212</v>
      </c>
      <c r="B73" s="3" t="s">
        <v>213</v>
      </c>
      <c r="C73" s="3" t="s">
        <v>25</v>
      </c>
      <c r="D73" s="3" t="s">
        <v>56</v>
      </c>
      <c r="E73" s="3" t="s">
        <v>18</v>
      </c>
      <c r="F73" s="2" t="s">
        <v>105</v>
      </c>
      <c r="G73" s="4">
        <v>45306</v>
      </c>
      <c r="H73" s="4"/>
      <c r="I73" s="5">
        <v>503179</v>
      </c>
      <c r="J73" s="2"/>
      <c r="K73" s="2" t="s">
        <v>75</v>
      </c>
      <c r="L73" s="3"/>
      <c r="M73" s="2" t="s">
        <v>44</v>
      </c>
      <c r="N73" s="2"/>
    </row>
    <row r="74" spans="1:14" ht="13.5" customHeight="1" x14ac:dyDescent="0.3">
      <c r="A74" s="2" t="s">
        <v>214</v>
      </c>
      <c r="B74" s="3" t="s">
        <v>215</v>
      </c>
      <c r="C74" s="3" t="s">
        <v>70</v>
      </c>
      <c r="D74" s="3" t="s">
        <v>62</v>
      </c>
      <c r="E74" s="3" t="s">
        <v>33</v>
      </c>
      <c r="F74" s="2" t="s">
        <v>34</v>
      </c>
      <c r="G74" s="4">
        <v>45391</v>
      </c>
      <c r="H74" s="4">
        <v>45410</v>
      </c>
      <c r="I74" s="5">
        <v>675772</v>
      </c>
      <c r="J74" s="5">
        <v>675772</v>
      </c>
      <c r="K74" s="2" t="s">
        <v>43</v>
      </c>
      <c r="L74" s="3"/>
      <c r="M74" s="2" t="s">
        <v>36</v>
      </c>
      <c r="N74" s="2"/>
    </row>
    <row r="75" spans="1:14" ht="13.5" customHeight="1" x14ac:dyDescent="0.3">
      <c r="A75" s="2" t="s">
        <v>216</v>
      </c>
      <c r="B75" s="3" t="s">
        <v>217</v>
      </c>
      <c r="C75" s="3" t="s">
        <v>39</v>
      </c>
      <c r="D75" s="3" t="s">
        <v>56</v>
      </c>
      <c r="E75" s="3" t="s">
        <v>41</v>
      </c>
      <c r="F75" s="2" t="s">
        <v>42</v>
      </c>
      <c r="G75" s="4">
        <v>45523</v>
      </c>
      <c r="H75" s="4">
        <v>45535</v>
      </c>
      <c r="I75" s="5">
        <v>830738</v>
      </c>
      <c r="J75" s="5">
        <v>562729</v>
      </c>
      <c r="K75" s="2" t="s">
        <v>35</v>
      </c>
      <c r="L75" s="3"/>
      <c r="M75" s="2" t="s">
        <v>96</v>
      </c>
      <c r="N75" s="2"/>
    </row>
    <row r="76" spans="1:14" ht="13.5" customHeight="1" x14ac:dyDescent="0.3">
      <c r="A76" s="2" t="s">
        <v>218</v>
      </c>
      <c r="B76" s="3" t="s">
        <v>219</v>
      </c>
      <c r="C76" s="3" t="s">
        <v>70</v>
      </c>
      <c r="D76" s="3" t="s">
        <v>17</v>
      </c>
      <c r="E76" s="3" t="s">
        <v>33</v>
      </c>
      <c r="F76" s="2" t="s">
        <v>47</v>
      </c>
      <c r="G76" s="4">
        <v>45413</v>
      </c>
      <c r="H76" s="4">
        <v>45426</v>
      </c>
      <c r="I76" s="5">
        <v>309489</v>
      </c>
      <c r="J76" s="5">
        <v>110339</v>
      </c>
      <c r="K76" s="2" t="s">
        <v>35</v>
      </c>
      <c r="L76" s="3"/>
      <c r="M76" s="2" t="s">
        <v>59</v>
      </c>
      <c r="N76" s="2"/>
    </row>
    <row r="77" spans="1:14" ht="13.5" customHeight="1" x14ac:dyDescent="0.3">
      <c r="A77" s="2" t="s">
        <v>220</v>
      </c>
      <c r="B77" s="3" t="s">
        <v>221</v>
      </c>
      <c r="C77" s="3" t="s">
        <v>39</v>
      </c>
      <c r="D77" s="3" t="s">
        <v>26</v>
      </c>
      <c r="E77" s="3" t="s">
        <v>27</v>
      </c>
      <c r="F77" s="2" t="s">
        <v>120</v>
      </c>
      <c r="G77" s="4">
        <v>45446</v>
      </c>
      <c r="H77" s="4">
        <v>45447</v>
      </c>
      <c r="I77" s="5">
        <v>341947</v>
      </c>
      <c r="J77" s="5">
        <v>341947</v>
      </c>
      <c r="K77" s="2" t="s">
        <v>67</v>
      </c>
      <c r="L77" s="3"/>
      <c r="M77" s="2" t="s">
        <v>30</v>
      </c>
      <c r="N77" s="2"/>
    </row>
    <row r="78" spans="1:14" ht="13.5" customHeight="1" x14ac:dyDescent="0.3">
      <c r="A78" s="2" t="s">
        <v>222</v>
      </c>
      <c r="B78" s="3" t="s">
        <v>223</v>
      </c>
      <c r="C78" s="3" t="s">
        <v>39</v>
      </c>
      <c r="D78" s="3" t="s">
        <v>56</v>
      </c>
      <c r="E78" s="3" t="s">
        <v>57</v>
      </c>
      <c r="F78" s="2" t="s">
        <v>58</v>
      </c>
      <c r="G78" s="4">
        <v>45466</v>
      </c>
      <c r="H78" s="4">
        <v>45467</v>
      </c>
      <c r="I78" s="5">
        <v>115352</v>
      </c>
      <c r="J78" s="5">
        <v>0</v>
      </c>
      <c r="K78" s="2" t="s">
        <v>20</v>
      </c>
      <c r="L78" s="3" t="s">
        <v>52</v>
      </c>
      <c r="M78" s="2" t="s">
        <v>59</v>
      </c>
      <c r="N78" s="2"/>
    </row>
    <row r="79" spans="1:14" ht="13.5" customHeight="1" x14ac:dyDescent="0.3">
      <c r="A79" s="2" t="s">
        <v>224</v>
      </c>
      <c r="B79" s="3" t="s">
        <v>225</v>
      </c>
      <c r="C79" s="3" t="s">
        <v>25</v>
      </c>
      <c r="D79" s="3" t="s">
        <v>56</v>
      </c>
      <c r="E79" s="3" t="s">
        <v>74</v>
      </c>
      <c r="F79" s="2" t="s">
        <v>47</v>
      </c>
      <c r="G79" s="4">
        <v>45473</v>
      </c>
      <c r="H79" s="4">
        <v>45482</v>
      </c>
      <c r="I79" s="5">
        <v>122550</v>
      </c>
      <c r="J79" s="5">
        <v>0</v>
      </c>
      <c r="K79" s="2" t="s">
        <v>20</v>
      </c>
      <c r="L79" s="3" t="s">
        <v>21</v>
      </c>
      <c r="M79" s="2" t="s">
        <v>30</v>
      </c>
      <c r="N79" s="2"/>
    </row>
    <row r="80" spans="1:14" ht="13.5" customHeight="1" x14ac:dyDescent="0.3">
      <c r="A80" s="2" t="s">
        <v>226</v>
      </c>
      <c r="B80" s="3" t="s">
        <v>227</v>
      </c>
      <c r="C80" s="3" t="s">
        <v>16</v>
      </c>
      <c r="D80" s="3" t="s">
        <v>40</v>
      </c>
      <c r="E80" s="3" t="s">
        <v>74</v>
      </c>
      <c r="F80" s="2" t="s">
        <v>34</v>
      </c>
      <c r="G80" s="4">
        <v>45534</v>
      </c>
      <c r="H80" s="4">
        <v>45549</v>
      </c>
      <c r="I80" s="5">
        <v>515899</v>
      </c>
      <c r="J80" s="5">
        <v>515899</v>
      </c>
      <c r="K80" s="2" t="s">
        <v>67</v>
      </c>
      <c r="L80" s="3"/>
      <c r="M80" s="2" t="s">
        <v>44</v>
      </c>
      <c r="N80" s="2"/>
    </row>
    <row r="81" spans="1:14" ht="13.5" customHeight="1" x14ac:dyDescent="0.3">
      <c r="A81" s="2" t="s">
        <v>228</v>
      </c>
      <c r="B81" s="3" t="s">
        <v>229</v>
      </c>
      <c r="C81" s="3" t="s">
        <v>70</v>
      </c>
      <c r="D81" s="3" t="s">
        <v>40</v>
      </c>
      <c r="E81" s="3" t="s">
        <v>74</v>
      </c>
      <c r="F81" s="2" t="s">
        <v>34</v>
      </c>
      <c r="G81" s="4">
        <v>45456</v>
      </c>
      <c r="H81" s="4">
        <v>45474</v>
      </c>
      <c r="I81" s="5">
        <v>79387</v>
      </c>
      <c r="J81" s="5">
        <v>79387</v>
      </c>
      <c r="K81" s="2" t="s">
        <v>67</v>
      </c>
      <c r="L81" s="3"/>
      <c r="M81" s="2" t="s">
        <v>88</v>
      </c>
      <c r="N81" s="2"/>
    </row>
    <row r="82" spans="1:14" ht="13.5" customHeight="1" x14ac:dyDescent="0.3">
      <c r="A82" s="2" t="s">
        <v>230</v>
      </c>
      <c r="B82" s="3" t="s">
        <v>231</v>
      </c>
      <c r="C82" s="3" t="s">
        <v>70</v>
      </c>
      <c r="D82" s="3" t="s">
        <v>56</v>
      </c>
      <c r="E82" s="3" t="s">
        <v>74</v>
      </c>
      <c r="F82" s="2" t="s">
        <v>34</v>
      </c>
      <c r="G82" s="4">
        <v>45461</v>
      </c>
      <c r="H82" s="4">
        <v>45466</v>
      </c>
      <c r="I82" s="5">
        <v>321754</v>
      </c>
      <c r="J82" s="5">
        <v>321754</v>
      </c>
      <c r="K82" s="2" t="s">
        <v>43</v>
      </c>
      <c r="L82" s="3"/>
      <c r="M82" s="2" t="s">
        <v>30</v>
      </c>
      <c r="N82" s="2"/>
    </row>
    <row r="83" spans="1:14" ht="13.5" customHeight="1" x14ac:dyDescent="0.3">
      <c r="A83" s="2" t="s">
        <v>232</v>
      </c>
      <c r="B83" s="3" t="s">
        <v>233</v>
      </c>
      <c r="C83" s="3" t="s">
        <v>25</v>
      </c>
      <c r="D83" s="3" t="s">
        <v>26</v>
      </c>
      <c r="E83" s="3" t="s">
        <v>41</v>
      </c>
      <c r="F83" s="2" t="s">
        <v>42</v>
      </c>
      <c r="G83" s="4">
        <v>45511</v>
      </c>
      <c r="H83" s="4">
        <v>45522</v>
      </c>
      <c r="I83" s="5">
        <v>97570</v>
      </c>
      <c r="J83" s="5">
        <v>0</v>
      </c>
      <c r="K83" s="2" t="s">
        <v>20</v>
      </c>
      <c r="L83" s="3" t="s">
        <v>114</v>
      </c>
      <c r="M83" s="2" t="s">
        <v>144</v>
      </c>
      <c r="N83" s="2"/>
    </row>
    <row r="84" spans="1:14" ht="13.5" customHeight="1" x14ac:dyDescent="0.3">
      <c r="A84" s="2" t="s">
        <v>234</v>
      </c>
      <c r="B84" s="3" t="s">
        <v>235</v>
      </c>
      <c r="C84" s="3" t="s">
        <v>70</v>
      </c>
      <c r="D84" s="3" t="s">
        <v>26</v>
      </c>
      <c r="E84" s="3" t="s">
        <v>74</v>
      </c>
      <c r="F84" s="2" t="s">
        <v>34</v>
      </c>
      <c r="G84" s="4">
        <v>45371</v>
      </c>
      <c r="H84" s="4">
        <v>45377</v>
      </c>
      <c r="I84" s="5">
        <v>682714</v>
      </c>
      <c r="J84" s="5">
        <v>430197</v>
      </c>
      <c r="K84" s="2" t="s">
        <v>35</v>
      </c>
      <c r="L84" s="3"/>
      <c r="M84" s="2" t="s">
        <v>22</v>
      </c>
      <c r="N84" s="2"/>
    </row>
    <row r="85" spans="1:14" ht="13.5" customHeight="1" x14ac:dyDescent="0.3">
      <c r="A85" s="2" t="s">
        <v>236</v>
      </c>
      <c r="B85" s="3" t="s">
        <v>237</v>
      </c>
      <c r="C85" s="3" t="s">
        <v>70</v>
      </c>
      <c r="D85" s="3" t="s">
        <v>56</v>
      </c>
      <c r="E85" s="3" t="s">
        <v>18</v>
      </c>
      <c r="F85" s="2" t="s">
        <v>105</v>
      </c>
      <c r="G85" s="4">
        <v>45544</v>
      </c>
      <c r="H85" s="4">
        <v>45558</v>
      </c>
      <c r="I85" s="5">
        <v>761225</v>
      </c>
      <c r="J85" s="5">
        <v>761225</v>
      </c>
      <c r="K85" s="2" t="s">
        <v>29</v>
      </c>
      <c r="L85" s="3"/>
      <c r="M85" s="2" t="s">
        <v>78</v>
      </c>
      <c r="N85" s="2"/>
    </row>
    <row r="86" spans="1:14" ht="13.5" customHeight="1" x14ac:dyDescent="0.3">
      <c r="A86" s="2" t="s">
        <v>238</v>
      </c>
      <c r="B86" s="3" t="s">
        <v>239</v>
      </c>
      <c r="C86" s="3" t="s">
        <v>39</v>
      </c>
      <c r="D86" s="3" t="s">
        <v>62</v>
      </c>
      <c r="E86" s="3" t="s">
        <v>33</v>
      </c>
      <c r="F86" s="2" t="s">
        <v>47</v>
      </c>
      <c r="G86" s="4">
        <v>45431</v>
      </c>
      <c r="H86" s="4">
        <v>45436</v>
      </c>
      <c r="I86" s="5">
        <v>291583</v>
      </c>
      <c r="J86" s="5">
        <v>291583</v>
      </c>
      <c r="K86" s="2" t="s">
        <v>67</v>
      </c>
      <c r="L86" s="3"/>
      <c r="M86" s="2" t="s">
        <v>63</v>
      </c>
      <c r="N86" s="2"/>
    </row>
    <row r="87" spans="1:14" ht="13.5" customHeight="1" x14ac:dyDescent="0.3">
      <c r="A87" s="2" t="s">
        <v>97</v>
      </c>
      <c r="B87" s="3" t="s">
        <v>98</v>
      </c>
      <c r="C87" s="3" t="s">
        <v>16</v>
      </c>
      <c r="D87" s="3" t="s">
        <v>40</v>
      </c>
      <c r="E87" s="3" t="s">
        <v>50</v>
      </c>
      <c r="F87" s="2" t="s">
        <v>81</v>
      </c>
      <c r="G87" s="4">
        <v>45495</v>
      </c>
      <c r="H87" s="4">
        <v>45504</v>
      </c>
      <c r="I87" s="5">
        <v>178703</v>
      </c>
      <c r="J87" s="5">
        <v>142057</v>
      </c>
      <c r="K87" s="2" t="s">
        <v>35</v>
      </c>
      <c r="L87" s="3"/>
      <c r="M87" s="2" t="s">
        <v>78</v>
      </c>
      <c r="N87" s="2"/>
    </row>
    <row r="88" spans="1:14" ht="13.5" customHeight="1" x14ac:dyDescent="0.3">
      <c r="A88" s="2" t="s">
        <v>240</v>
      </c>
      <c r="B88" s="3" t="s">
        <v>241</v>
      </c>
      <c r="C88" s="3" t="s">
        <v>25</v>
      </c>
      <c r="D88" s="3" t="s">
        <v>26</v>
      </c>
      <c r="E88" s="3" t="s">
        <v>18</v>
      </c>
      <c r="F88" s="2" t="s">
        <v>19</v>
      </c>
      <c r="G88" s="4">
        <v>45463</v>
      </c>
      <c r="H88" s="4">
        <v>45488</v>
      </c>
      <c r="I88" s="5">
        <v>654948</v>
      </c>
      <c r="J88" s="5">
        <v>210757</v>
      </c>
      <c r="K88" s="2" t="s">
        <v>35</v>
      </c>
      <c r="L88" s="3"/>
      <c r="M88" s="2" t="s">
        <v>53</v>
      </c>
      <c r="N88" s="2"/>
    </row>
    <row r="89" spans="1:14" ht="13.5" customHeight="1" x14ac:dyDescent="0.3">
      <c r="A89" s="2" t="s">
        <v>242</v>
      </c>
      <c r="B89" s="3" t="s">
        <v>243</v>
      </c>
      <c r="C89" s="3" t="s">
        <v>39</v>
      </c>
      <c r="D89" s="3" t="s">
        <v>26</v>
      </c>
      <c r="E89" s="3" t="s">
        <v>74</v>
      </c>
      <c r="F89" s="2" t="s">
        <v>34</v>
      </c>
      <c r="G89" s="4">
        <v>45491</v>
      </c>
      <c r="H89" s="4"/>
      <c r="I89" s="2"/>
      <c r="J89" s="2"/>
      <c r="K89" s="2" t="s">
        <v>75</v>
      </c>
      <c r="L89" s="3"/>
      <c r="M89" s="2" t="s">
        <v>117</v>
      </c>
      <c r="N89" s="2"/>
    </row>
    <row r="90" spans="1:14" ht="13.5" customHeight="1" x14ac:dyDescent="0.3">
      <c r="A90" s="2" t="s">
        <v>244</v>
      </c>
      <c r="B90" s="3" t="s">
        <v>245</v>
      </c>
      <c r="C90" s="3" t="s">
        <v>70</v>
      </c>
      <c r="D90" s="3" t="s">
        <v>40</v>
      </c>
      <c r="E90" s="3" t="s">
        <v>57</v>
      </c>
      <c r="F90" s="2" t="s">
        <v>66</v>
      </c>
      <c r="G90" s="4">
        <v>45332</v>
      </c>
      <c r="H90" s="4"/>
      <c r="I90" s="5">
        <v>940525</v>
      </c>
      <c r="J90" s="2"/>
      <c r="K90" s="2" t="s">
        <v>75</v>
      </c>
      <c r="L90" s="3"/>
      <c r="M90" s="2" t="s">
        <v>121</v>
      </c>
      <c r="N90" s="2"/>
    </row>
    <row r="91" spans="1:14" ht="13.5" customHeight="1" x14ac:dyDescent="0.3">
      <c r="A91" s="2" t="s">
        <v>246</v>
      </c>
      <c r="B91" s="3" t="s">
        <v>247</v>
      </c>
      <c r="C91" s="3" t="s">
        <v>25</v>
      </c>
      <c r="D91" s="3" t="s">
        <v>56</v>
      </c>
      <c r="E91" s="3" t="s">
        <v>57</v>
      </c>
      <c r="F91" s="2" t="s">
        <v>58</v>
      </c>
      <c r="G91" s="4">
        <v>45335</v>
      </c>
      <c r="H91" s="4">
        <v>45349</v>
      </c>
      <c r="I91" s="5">
        <v>407383</v>
      </c>
      <c r="J91" s="5">
        <v>0</v>
      </c>
      <c r="K91" s="2" t="s">
        <v>20</v>
      </c>
      <c r="L91" s="3" t="s">
        <v>52</v>
      </c>
      <c r="M91" s="2" t="s">
        <v>144</v>
      </c>
      <c r="N91" s="2"/>
    </row>
    <row r="92" spans="1:14" ht="13.5" customHeight="1" x14ac:dyDescent="0.3">
      <c r="A92" s="2" t="s">
        <v>248</v>
      </c>
      <c r="B92" s="3" t="s">
        <v>249</v>
      </c>
      <c r="C92" s="3" t="s">
        <v>25</v>
      </c>
      <c r="D92" s="3" t="s">
        <v>56</v>
      </c>
      <c r="E92" s="3" t="s">
        <v>33</v>
      </c>
      <c r="F92" s="2" t="s">
        <v>163</v>
      </c>
      <c r="G92" s="4">
        <v>45541</v>
      </c>
      <c r="H92" s="4">
        <v>45552</v>
      </c>
      <c r="I92" s="5">
        <v>496625</v>
      </c>
      <c r="J92" s="5">
        <v>268275</v>
      </c>
      <c r="K92" s="2" t="s">
        <v>35</v>
      </c>
      <c r="L92" s="3"/>
      <c r="M92" s="2" t="s">
        <v>59</v>
      </c>
      <c r="N92" s="2"/>
    </row>
    <row r="93" spans="1:14" ht="13.5" customHeight="1" x14ac:dyDescent="0.3">
      <c r="A93" s="2" t="s">
        <v>250</v>
      </c>
      <c r="B93" s="3" t="s">
        <v>251</v>
      </c>
      <c r="C93" s="3" t="s">
        <v>39</v>
      </c>
      <c r="D93" s="3" t="s">
        <v>56</v>
      </c>
      <c r="E93" s="3" t="s">
        <v>41</v>
      </c>
      <c r="F93" s="2" t="s">
        <v>42</v>
      </c>
      <c r="G93" s="4">
        <v>45513</v>
      </c>
      <c r="H93" s="4">
        <v>45515</v>
      </c>
      <c r="I93" s="5">
        <v>897909</v>
      </c>
      <c r="J93" s="5">
        <v>634973</v>
      </c>
      <c r="K93" s="2" t="s">
        <v>35</v>
      </c>
      <c r="L93" s="3"/>
      <c r="M93" s="2" t="s">
        <v>78</v>
      </c>
      <c r="N93" s="2"/>
    </row>
    <row r="94" spans="1:14" ht="13.5" customHeight="1" x14ac:dyDescent="0.3">
      <c r="A94" s="2" t="s">
        <v>252</v>
      </c>
      <c r="B94" s="3" t="s">
        <v>253</v>
      </c>
      <c r="C94" s="3" t="s">
        <v>16</v>
      </c>
      <c r="D94" s="3" t="s">
        <v>62</v>
      </c>
      <c r="E94" s="3" t="s">
        <v>27</v>
      </c>
      <c r="F94" s="2" t="s">
        <v>120</v>
      </c>
      <c r="G94" s="4">
        <v>45614</v>
      </c>
      <c r="H94" s="4">
        <v>45624</v>
      </c>
      <c r="I94" s="5">
        <v>196399</v>
      </c>
      <c r="J94" s="5">
        <v>0</v>
      </c>
      <c r="K94" s="2" t="s">
        <v>20</v>
      </c>
      <c r="L94" s="3" t="s">
        <v>21</v>
      </c>
      <c r="M94" s="2" t="s">
        <v>44</v>
      </c>
      <c r="N94" s="2"/>
    </row>
    <row r="95" spans="1:14" ht="13.5" customHeight="1" x14ac:dyDescent="0.3">
      <c r="A95" s="2" t="s">
        <v>254</v>
      </c>
      <c r="B95" s="3" t="s">
        <v>255</v>
      </c>
      <c r="C95" s="3" t="s">
        <v>70</v>
      </c>
      <c r="D95" s="3" t="s">
        <v>56</v>
      </c>
      <c r="E95" s="3" t="s">
        <v>18</v>
      </c>
      <c r="F95" s="2" t="s">
        <v>105</v>
      </c>
      <c r="G95" s="4">
        <v>45419</v>
      </c>
      <c r="H95" s="4">
        <v>45428</v>
      </c>
      <c r="I95" s="5">
        <v>103264</v>
      </c>
      <c r="J95" s="5">
        <v>103264</v>
      </c>
      <c r="K95" s="2" t="s">
        <v>67</v>
      </c>
      <c r="L95" s="3"/>
      <c r="M95" s="2" t="s">
        <v>22</v>
      </c>
      <c r="N95" s="2"/>
    </row>
    <row r="96" spans="1:14" ht="13.5" customHeight="1" x14ac:dyDescent="0.3">
      <c r="A96" s="2" t="s">
        <v>256</v>
      </c>
      <c r="B96" s="3" t="s">
        <v>257</v>
      </c>
      <c r="C96" s="3" t="s">
        <v>16</v>
      </c>
      <c r="D96" s="3" t="s">
        <v>62</v>
      </c>
      <c r="E96" s="3" t="s">
        <v>74</v>
      </c>
      <c r="F96" s="2" t="s">
        <v>47</v>
      </c>
      <c r="G96" s="4">
        <v>45353</v>
      </c>
      <c r="H96" s="4">
        <v>45358</v>
      </c>
      <c r="I96" s="5">
        <v>102326</v>
      </c>
      <c r="J96" s="5">
        <v>0</v>
      </c>
      <c r="K96" s="2" t="s">
        <v>20</v>
      </c>
      <c r="L96" s="3" t="s">
        <v>114</v>
      </c>
      <c r="M96" s="2" t="s">
        <v>30</v>
      </c>
      <c r="N96" s="2"/>
    </row>
    <row r="97" spans="1:14" ht="13.5" customHeight="1" x14ac:dyDescent="0.3">
      <c r="A97" s="2" t="s">
        <v>258</v>
      </c>
      <c r="B97" s="3" t="s">
        <v>259</v>
      </c>
      <c r="C97" s="3" t="s">
        <v>39</v>
      </c>
      <c r="D97" s="3" t="s">
        <v>40</v>
      </c>
      <c r="E97" s="3" t="s">
        <v>33</v>
      </c>
      <c r="F97" s="2" t="s">
        <v>34</v>
      </c>
      <c r="G97" s="4">
        <v>45338</v>
      </c>
      <c r="H97" s="4">
        <v>45350</v>
      </c>
      <c r="I97" s="5">
        <v>282526</v>
      </c>
      <c r="J97" s="5">
        <v>282526</v>
      </c>
      <c r="K97" s="2" t="s">
        <v>43</v>
      </c>
      <c r="L97" s="3"/>
      <c r="M97" s="2" t="s">
        <v>63</v>
      </c>
      <c r="N97" s="2"/>
    </row>
    <row r="98" spans="1:14" ht="13.5" customHeight="1" x14ac:dyDescent="0.3">
      <c r="A98" s="2" t="s">
        <v>260</v>
      </c>
      <c r="B98" s="3" t="s">
        <v>261</v>
      </c>
      <c r="C98" s="3" t="s">
        <v>70</v>
      </c>
      <c r="D98" s="3" t="s">
        <v>26</v>
      </c>
      <c r="E98" s="3" t="s">
        <v>18</v>
      </c>
      <c r="F98" s="2" t="s">
        <v>19</v>
      </c>
      <c r="G98" s="4">
        <v>45498</v>
      </c>
      <c r="H98" s="4"/>
      <c r="I98" s="5">
        <v>906577</v>
      </c>
      <c r="J98" s="2"/>
      <c r="K98" s="2" t="s">
        <v>75</v>
      </c>
      <c r="L98" s="3"/>
      <c r="M98" s="2" t="s">
        <v>96</v>
      </c>
      <c r="N98" s="2"/>
    </row>
    <row r="99" spans="1:14" ht="13.5" customHeight="1" x14ac:dyDescent="0.3">
      <c r="A99" s="2" t="s">
        <v>262</v>
      </c>
      <c r="B99" s="3" t="s">
        <v>263</v>
      </c>
      <c r="C99" s="3" t="s">
        <v>39</v>
      </c>
      <c r="D99" s="3" t="s">
        <v>56</v>
      </c>
      <c r="E99" s="3" t="s">
        <v>57</v>
      </c>
      <c r="F99" s="2" t="s">
        <v>58</v>
      </c>
      <c r="G99" s="4">
        <v>45614</v>
      </c>
      <c r="H99" s="4">
        <v>45620</v>
      </c>
      <c r="I99" s="5">
        <v>119799</v>
      </c>
      <c r="J99" s="5">
        <v>0</v>
      </c>
      <c r="K99" s="2" t="s">
        <v>20</v>
      </c>
      <c r="L99" s="3" t="s">
        <v>52</v>
      </c>
      <c r="M99" s="2" t="s">
        <v>30</v>
      </c>
      <c r="N99" s="2"/>
    </row>
    <row r="100" spans="1:14" ht="13.5" customHeight="1" x14ac:dyDescent="0.3">
      <c r="A100" s="2" t="s">
        <v>264</v>
      </c>
      <c r="B100" s="3" t="s">
        <v>265</v>
      </c>
      <c r="C100" s="3" t="s">
        <v>16</v>
      </c>
      <c r="D100" s="3" t="s">
        <v>40</v>
      </c>
      <c r="E100" s="3" t="s">
        <v>27</v>
      </c>
      <c r="F100" s="2" t="s">
        <v>28</v>
      </c>
      <c r="G100" s="4">
        <v>45303</v>
      </c>
      <c r="H100" s="4">
        <v>45313</v>
      </c>
      <c r="I100" s="5">
        <v>380205</v>
      </c>
      <c r="J100" s="5">
        <v>380205</v>
      </c>
      <c r="K100" s="2" t="s">
        <v>43</v>
      </c>
      <c r="L100" s="3"/>
      <c r="M100" s="2" t="s">
        <v>53</v>
      </c>
      <c r="N100" s="2"/>
    </row>
    <row r="101" spans="1:14" ht="13.5" customHeight="1" x14ac:dyDescent="0.3">
      <c r="A101" s="2" t="s">
        <v>266</v>
      </c>
      <c r="B101" s="3" t="s">
        <v>267</v>
      </c>
      <c r="C101" s="3" t="s">
        <v>25</v>
      </c>
      <c r="D101" s="3" t="s">
        <v>62</v>
      </c>
      <c r="E101" s="3" t="s">
        <v>74</v>
      </c>
      <c r="F101" s="2" t="s">
        <v>34</v>
      </c>
      <c r="G101" s="4">
        <v>45373</v>
      </c>
      <c r="H101" s="4">
        <v>45387</v>
      </c>
      <c r="I101" s="5">
        <v>643357</v>
      </c>
      <c r="J101" s="5">
        <v>0</v>
      </c>
      <c r="K101" s="2" t="s">
        <v>20</v>
      </c>
      <c r="L101" s="3" t="s">
        <v>114</v>
      </c>
      <c r="M101" s="2" t="s">
        <v>96</v>
      </c>
      <c r="N101" s="2"/>
    </row>
    <row r="102" spans="1:14" ht="13.5" customHeight="1" x14ac:dyDescent="0.3">
      <c r="A102" s="2" t="s">
        <v>268</v>
      </c>
      <c r="B102" s="3" t="s">
        <v>269</v>
      </c>
      <c r="C102" s="3" t="s">
        <v>25</v>
      </c>
      <c r="D102" s="3" t="s">
        <v>26</v>
      </c>
      <c r="E102" s="3" t="s">
        <v>41</v>
      </c>
      <c r="F102" s="2" t="s">
        <v>42</v>
      </c>
      <c r="G102" s="4">
        <v>45478</v>
      </c>
      <c r="H102" s="4">
        <v>45494</v>
      </c>
      <c r="I102" s="5">
        <v>245865</v>
      </c>
      <c r="J102" s="5">
        <v>245865</v>
      </c>
      <c r="K102" s="2" t="s">
        <v>67</v>
      </c>
      <c r="L102" s="3"/>
      <c r="M102" s="2" t="s">
        <v>36</v>
      </c>
      <c r="N102" s="2"/>
    </row>
    <row r="103" spans="1:14" ht="13.5" customHeight="1" x14ac:dyDescent="0.3">
      <c r="A103" s="2" t="s">
        <v>270</v>
      </c>
      <c r="B103" s="3" t="s">
        <v>271</v>
      </c>
      <c r="C103" s="3" t="s">
        <v>39</v>
      </c>
      <c r="D103" s="3" t="s">
        <v>62</v>
      </c>
      <c r="E103" s="3" t="s">
        <v>41</v>
      </c>
      <c r="F103" s="2" t="s">
        <v>42</v>
      </c>
      <c r="G103" s="4">
        <v>45655</v>
      </c>
      <c r="H103" s="4">
        <v>45670</v>
      </c>
      <c r="I103" s="5">
        <v>189604</v>
      </c>
      <c r="J103" s="5">
        <v>79083</v>
      </c>
      <c r="K103" s="2" t="s">
        <v>35</v>
      </c>
      <c r="L103" s="3"/>
      <c r="M103" s="2" t="s">
        <v>93</v>
      </c>
      <c r="N103" s="2"/>
    </row>
    <row r="104" spans="1:14" ht="13.5" customHeight="1" x14ac:dyDescent="0.3">
      <c r="A104" s="2" t="s">
        <v>272</v>
      </c>
      <c r="B104" s="3" t="s">
        <v>273</v>
      </c>
      <c r="C104" s="3" t="s">
        <v>70</v>
      </c>
      <c r="D104" s="3" t="s">
        <v>40</v>
      </c>
      <c r="E104" s="3" t="s">
        <v>41</v>
      </c>
      <c r="F104" s="2" t="s">
        <v>143</v>
      </c>
      <c r="G104" s="4">
        <v>45429</v>
      </c>
      <c r="H104" s="4">
        <v>45439</v>
      </c>
      <c r="I104" s="5">
        <v>673258</v>
      </c>
      <c r="J104" s="5">
        <v>231791</v>
      </c>
      <c r="K104" s="2" t="s">
        <v>35</v>
      </c>
      <c r="L104" s="3"/>
      <c r="M104" s="2" t="s">
        <v>63</v>
      </c>
      <c r="N104" s="2"/>
    </row>
    <row r="105" spans="1:14" ht="13.5" customHeight="1" x14ac:dyDescent="0.3">
      <c r="A105" s="2" t="s">
        <v>274</v>
      </c>
      <c r="B105" s="3" t="s">
        <v>275</v>
      </c>
      <c r="C105" s="3" t="s">
        <v>25</v>
      </c>
      <c r="D105" s="3" t="s">
        <v>56</v>
      </c>
      <c r="E105" s="3" t="s">
        <v>41</v>
      </c>
      <c r="F105" s="2" t="s">
        <v>42</v>
      </c>
      <c r="G105" s="4">
        <v>45307</v>
      </c>
      <c r="H105" s="4">
        <v>45324</v>
      </c>
      <c r="I105" s="5">
        <v>205975</v>
      </c>
      <c r="J105" s="5">
        <v>205975</v>
      </c>
      <c r="K105" s="2" t="s">
        <v>67</v>
      </c>
      <c r="L105" s="3"/>
      <c r="M105" s="2" t="s">
        <v>132</v>
      </c>
      <c r="N105" s="2"/>
    </row>
    <row r="106" spans="1:14" ht="13.5" customHeight="1" x14ac:dyDescent="0.3">
      <c r="A106" s="2" t="s">
        <v>276</v>
      </c>
      <c r="B106" s="3" t="s">
        <v>277</v>
      </c>
      <c r="C106" s="3" t="s">
        <v>25</v>
      </c>
      <c r="D106" s="3" t="s">
        <v>62</v>
      </c>
      <c r="E106" s="3" t="s">
        <v>50</v>
      </c>
      <c r="F106" s="2" t="s">
        <v>51</v>
      </c>
      <c r="G106" s="4">
        <v>45429</v>
      </c>
      <c r="H106" s="4"/>
      <c r="I106" s="5">
        <v>750970</v>
      </c>
      <c r="J106" s="2"/>
      <c r="K106" s="2" t="s">
        <v>75</v>
      </c>
      <c r="L106" s="3"/>
      <c r="M106" s="2" t="s">
        <v>44</v>
      </c>
      <c r="N106" s="2"/>
    </row>
    <row r="107" spans="1:14" ht="13.5" customHeight="1" x14ac:dyDescent="0.3">
      <c r="A107" s="2" t="s">
        <v>278</v>
      </c>
      <c r="B107" s="3" t="s">
        <v>279</v>
      </c>
      <c r="C107" s="3" t="s">
        <v>39</v>
      </c>
      <c r="D107" s="3" t="s">
        <v>40</v>
      </c>
      <c r="E107" s="3" t="s">
        <v>41</v>
      </c>
      <c r="F107" s="2" t="s">
        <v>143</v>
      </c>
      <c r="G107" s="4">
        <v>45324</v>
      </c>
      <c r="H107" s="4">
        <v>45335</v>
      </c>
      <c r="I107" s="5">
        <v>921609</v>
      </c>
      <c r="J107" s="5">
        <v>0</v>
      </c>
      <c r="K107" s="2" t="s">
        <v>20</v>
      </c>
      <c r="L107" s="3" t="s">
        <v>114</v>
      </c>
      <c r="M107" s="2" t="s">
        <v>144</v>
      </c>
      <c r="N107" s="2"/>
    </row>
    <row r="108" spans="1:14" ht="13.5" customHeight="1" x14ac:dyDescent="0.3">
      <c r="A108" s="2" t="s">
        <v>280</v>
      </c>
      <c r="B108" s="3" t="s">
        <v>281</v>
      </c>
      <c r="C108" s="3" t="s">
        <v>39</v>
      </c>
      <c r="D108" s="3" t="s">
        <v>56</v>
      </c>
      <c r="E108" s="3" t="s">
        <v>33</v>
      </c>
      <c r="F108" s="2" t="s">
        <v>163</v>
      </c>
      <c r="G108" s="4">
        <v>45499</v>
      </c>
      <c r="H108" s="4">
        <v>45507</v>
      </c>
      <c r="I108" s="5">
        <v>390444</v>
      </c>
      <c r="J108" s="5">
        <v>0</v>
      </c>
      <c r="K108" s="2" t="s">
        <v>20</v>
      </c>
      <c r="L108" s="3" t="s">
        <v>21</v>
      </c>
      <c r="M108" s="2" t="s">
        <v>96</v>
      </c>
      <c r="N108" s="2"/>
    </row>
    <row r="109" spans="1:14" ht="13.5" customHeight="1" x14ac:dyDescent="0.3">
      <c r="A109" s="2" t="s">
        <v>282</v>
      </c>
      <c r="B109" s="3" t="s">
        <v>283</v>
      </c>
      <c r="C109" s="3" t="s">
        <v>16</v>
      </c>
      <c r="D109" s="3" t="s">
        <v>40</v>
      </c>
      <c r="E109" s="3" t="s">
        <v>27</v>
      </c>
      <c r="F109" s="2" t="s">
        <v>120</v>
      </c>
      <c r="G109" s="4">
        <v>45607</v>
      </c>
      <c r="H109" s="4">
        <v>45609</v>
      </c>
      <c r="I109" s="5">
        <v>398350</v>
      </c>
      <c r="J109" s="5">
        <v>398350</v>
      </c>
      <c r="K109" s="2" t="s">
        <v>29</v>
      </c>
      <c r="L109" s="3"/>
      <c r="M109" s="2" t="s">
        <v>78</v>
      </c>
      <c r="N109" s="2"/>
    </row>
    <row r="110" spans="1:14" ht="13.5" customHeight="1" x14ac:dyDescent="0.3">
      <c r="A110" s="2" t="s">
        <v>284</v>
      </c>
      <c r="B110" s="3" t="s">
        <v>285</v>
      </c>
      <c r="C110" s="3" t="s">
        <v>70</v>
      </c>
      <c r="D110" s="3" t="s">
        <v>17</v>
      </c>
      <c r="E110" s="3" t="s">
        <v>41</v>
      </c>
      <c r="F110" s="2" t="s">
        <v>42</v>
      </c>
      <c r="G110" s="4">
        <v>45530</v>
      </c>
      <c r="H110" s="4">
        <v>45533</v>
      </c>
      <c r="I110" s="5">
        <v>716781</v>
      </c>
      <c r="J110" s="5">
        <v>716781</v>
      </c>
      <c r="K110" s="2" t="s">
        <v>29</v>
      </c>
      <c r="L110" s="3"/>
      <c r="M110" s="2" t="s">
        <v>53</v>
      </c>
      <c r="N110" s="2"/>
    </row>
    <row r="111" spans="1:14" ht="13.5" customHeight="1" x14ac:dyDescent="0.3">
      <c r="A111" s="2" t="s">
        <v>286</v>
      </c>
      <c r="B111" s="3" t="s">
        <v>287</v>
      </c>
      <c r="C111" s="3" t="s">
        <v>25</v>
      </c>
      <c r="D111" s="3" t="s">
        <v>56</v>
      </c>
      <c r="E111" s="3" t="s">
        <v>18</v>
      </c>
      <c r="F111" s="2" t="s">
        <v>19</v>
      </c>
      <c r="G111" s="4">
        <v>45625</v>
      </c>
      <c r="H111" s="4">
        <v>45637</v>
      </c>
      <c r="I111" s="5">
        <v>450789</v>
      </c>
      <c r="J111" s="5">
        <v>450789</v>
      </c>
      <c r="K111" s="2" t="s">
        <v>67</v>
      </c>
      <c r="L111" s="3"/>
      <c r="M111" s="2" t="s">
        <v>78</v>
      </c>
      <c r="N111" s="2"/>
    </row>
    <row r="112" spans="1:14" ht="13.5" customHeight="1" x14ac:dyDescent="0.3">
      <c r="A112" s="2" t="s">
        <v>288</v>
      </c>
      <c r="B112" s="3" t="s">
        <v>289</v>
      </c>
      <c r="C112" s="3" t="s">
        <v>16</v>
      </c>
      <c r="D112" s="3" t="s">
        <v>56</v>
      </c>
      <c r="E112" s="3" t="s">
        <v>27</v>
      </c>
      <c r="F112" s="2" t="s">
        <v>28</v>
      </c>
      <c r="G112" s="4">
        <v>45566</v>
      </c>
      <c r="H112" s="4"/>
      <c r="I112" s="5">
        <v>817675</v>
      </c>
      <c r="J112" s="2"/>
      <c r="K112" s="2" t="s">
        <v>75</v>
      </c>
      <c r="L112" s="3"/>
      <c r="M112" s="2" t="s">
        <v>78</v>
      </c>
      <c r="N112" s="2"/>
    </row>
    <row r="113" spans="1:14" ht="13.5" customHeight="1" x14ac:dyDescent="0.3">
      <c r="A113" s="2" t="s">
        <v>290</v>
      </c>
      <c r="B113" s="3" t="s">
        <v>291</v>
      </c>
      <c r="C113" s="3" t="s">
        <v>70</v>
      </c>
      <c r="D113" s="3" t="s">
        <v>56</v>
      </c>
      <c r="E113" s="3" t="s">
        <v>33</v>
      </c>
      <c r="F113" s="2" t="s">
        <v>163</v>
      </c>
      <c r="G113" s="4">
        <v>45366</v>
      </c>
      <c r="H113" s="4">
        <v>45376</v>
      </c>
      <c r="I113" s="5">
        <v>216615</v>
      </c>
      <c r="J113" s="5">
        <v>216615</v>
      </c>
      <c r="K113" s="2" t="s">
        <v>67</v>
      </c>
      <c r="L113" s="3"/>
      <c r="M113" s="2" t="s">
        <v>121</v>
      </c>
      <c r="N113" s="2"/>
    </row>
    <row r="114" spans="1:14" ht="13.5" customHeight="1" x14ac:dyDescent="0.3">
      <c r="A114" s="2" t="s">
        <v>292</v>
      </c>
      <c r="B114" s="3" t="s">
        <v>293</v>
      </c>
      <c r="C114" s="3" t="s">
        <v>25</v>
      </c>
      <c r="D114" s="3" t="s">
        <v>40</v>
      </c>
      <c r="E114" s="3" t="s">
        <v>41</v>
      </c>
      <c r="F114" s="2" t="s">
        <v>42</v>
      </c>
      <c r="G114" s="4">
        <v>45593</v>
      </c>
      <c r="H114" s="4">
        <v>45609</v>
      </c>
      <c r="I114" s="5">
        <v>662237</v>
      </c>
      <c r="J114" s="5">
        <v>662237</v>
      </c>
      <c r="K114" s="2" t="s">
        <v>29</v>
      </c>
      <c r="L114" s="3"/>
      <c r="M114" s="2" t="s">
        <v>96</v>
      </c>
      <c r="N114" s="2"/>
    </row>
    <row r="115" spans="1:14" ht="13.5" customHeight="1" x14ac:dyDescent="0.3">
      <c r="A115" s="2" t="s">
        <v>294</v>
      </c>
      <c r="B115" s="3" t="s">
        <v>295</v>
      </c>
      <c r="C115" s="3" t="s">
        <v>25</v>
      </c>
      <c r="D115" s="3" t="s">
        <v>62</v>
      </c>
      <c r="E115" s="3" t="s">
        <v>57</v>
      </c>
      <c r="F115" s="2" t="s">
        <v>66</v>
      </c>
      <c r="G115" s="4">
        <v>45348</v>
      </c>
      <c r="H115" s="4">
        <v>45360</v>
      </c>
      <c r="I115" s="5">
        <v>228346</v>
      </c>
      <c r="J115" s="5">
        <v>228346</v>
      </c>
      <c r="K115" s="2" t="s">
        <v>29</v>
      </c>
      <c r="L115" s="3"/>
      <c r="M115" s="2" t="s">
        <v>59</v>
      </c>
      <c r="N115" s="2"/>
    </row>
    <row r="116" spans="1:14" ht="13.5" customHeight="1" x14ac:dyDescent="0.3">
      <c r="A116" s="2" t="s">
        <v>296</v>
      </c>
      <c r="B116" s="3" t="s">
        <v>297</v>
      </c>
      <c r="C116" s="3" t="s">
        <v>25</v>
      </c>
      <c r="D116" s="3" t="s">
        <v>17</v>
      </c>
      <c r="E116" s="3" t="s">
        <v>57</v>
      </c>
      <c r="F116" s="2" t="s">
        <v>113</v>
      </c>
      <c r="G116" s="4">
        <v>45425</v>
      </c>
      <c r="H116" s="4">
        <v>45426</v>
      </c>
      <c r="I116" s="5">
        <v>9207</v>
      </c>
      <c r="J116" s="5">
        <v>9207</v>
      </c>
      <c r="K116" s="2" t="s">
        <v>43</v>
      </c>
      <c r="L116" s="3"/>
      <c r="M116" s="2" t="s">
        <v>121</v>
      </c>
      <c r="N116" s="2"/>
    </row>
    <row r="117" spans="1:14" ht="13.5" customHeight="1" x14ac:dyDescent="0.3">
      <c r="A117" s="2" t="s">
        <v>298</v>
      </c>
      <c r="B117" s="3" t="s">
        <v>299</v>
      </c>
      <c r="C117" s="3" t="s">
        <v>25</v>
      </c>
      <c r="D117" s="3" t="s">
        <v>40</v>
      </c>
      <c r="E117" s="3" t="s">
        <v>33</v>
      </c>
      <c r="F117" s="2" t="s">
        <v>163</v>
      </c>
      <c r="G117" s="4">
        <v>45514</v>
      </c>
      <c r="H117" s="4">
        <v>45532</v>
      </c>
      <c r="I117" s="5">
        <v>103119</v>
      </c>
      <c r="J117" s="5">
        <v>103119</v>
      </c>
      <c r="K117" s="2" t="s">
        <v>67</v>
      </c>
      <c r="L117" s="3"/>
      <c r="M117" s="2" t="s">
        <v>63</v>
      </c>
      <c r="N117" s="2"/>
    </row>
    <row r="118" spans="1:14" ht="13.5" customHeight="1" x14ac:dyDescent="0.3">
      <c r="A118" s="2" t="s">
        <v>300</v>
      </c>
      <c r="B118" s="3" t="s">
        <v>301</v>
      </c>
      <c r="C118" s="3" t="s">
        <v>39</v>
      </c>
      <c r="D118" s="3" t="s">
        <v>17</v>
      </c>
      <c r="E118" s="3" t="s">
        <v>41</v>
      </c>
      <c r="F118" s="2" t="s">
        <v>42</v>
      </c>
      <c r="G118" s="4">
        <v>45545</v>
      </c>
      <c r="H118" s="4">
        <v>45566</v>
      </c>
      <c r="I118" s="5">
        <v>656761</v>
      </c>
      <c r="J118" s="5">
        <v>656761</v>
      </c>
      <c r="K118" s="2" t="s">
        <v>43</v>
      </c>
      <c r="L118" s="3"/>
      <c r="M118" s="2" t="s">
        <v>63</v>
      </c>
      <c r="N118" s="2"/>
    </row>
    <row r="119" spans="1:14" ht="13.5" customHeight="1" x14ac:dyDescent="0.3">
      <c r="A119" s="2" t="s">
        <v>302</v>
      </c>
      <c r="B119" s="3" t="s">
        <v>303</v>
      </c>
      <c r="C119" s="3" t="s">
        <v>25</v>
      </c>
      <c r="D119" s="3" t="s">
        <v>26</v>
      </c>
      <c r="E119" s="3" t="s">
        <v>57</v>
      </c>
      <c r="F119" s="2" t="s">
        <v>113</v>
      </c>
      <c r="G119" s="4">
        <v>45606</v>
      </c>
      <c r="H119" s="4">
        <v>45615</v>
      </c>
      <c r="I119" s="5">
        <v>158546</v>
      </c>
      <c r="J119" s="5">
        <v>158546</v>
      </c>
      <c r="K119" s="2" t="s">
        <v>29</v>
      </c>
      <c r="L119" s="3"/>
      <c r="M119" s="2" t="s">
        <v>93</v>
      </c>
      <c r="N119" s="2"/>
    </row>
    <row r="120" spans="1:14" ht="13.5" customHeight="1" x14ac:dyDescent="0.3">
      <c r="A120" s="2" t="s">
        <v>304</v>
      </c>
      <c r="B120" s="3" t="s">
        <v>305</v>
      </c>
      <c r="C120" s="3" t="s">
        <v>25</v>
      </c>
      <c r="D120" s="3" t="s">
        <v>62</v>
      </c>
      <c r="E120" s="3" t="s">
        <v>50</v>
      </c>
      <c r="F120" s="2" t="s">
        <v>51</v>
      </c>
      <c r="G120" s="4">
        <v>45559</v>
      </c>
      <c r="H120" s="4">
        <v>45566</v>
      </c>
      <c r="I120" s="5">
        <v>487104</v>
      </c>
      <c r="J120" s="5">
        <v>487104</v>
      </c>
      <c r="K120" s="2" t="s">
        <v>43</v>
      </c>
      <c r="L120" s="3"/>
      <c r="M120" s="2" t="s">
        <v>22</v>
      </c>
      <c r="N120" s="2"/>
    </row>
    <row r="121" spans="1:14" ht="13.5" customHeight="1" x14ac:dyDescent="0.3">
      <c r="A121" s="2" t="s">
        <v>306</v>
      </c>
      <c r="B121" s="3" t="s">
        <v>307</v>
      </c>
      <c r="C121" s="3" t="s">
        <v>25</v>
      </c>
      <c r="D121" s="3" t="s">
        <v>62</v>
      </c>
      <c r="E121" s="3" t="s">
        <v>41</v>
      </c>
      <c r="F121" s="2" t="s">
        <v>143</v>
      </c>
      <c r="G121" s="4">
        <v>45352</v>
      </c>
      <c r="H121" s="4"/>
      <c r="I121" s="5">
        <v>449525</v>
      </c>
      <c r="J121" s="2"/>
      <c r="K121" s="2" t="s">
        <v>75</v>
      </c>
      <c r="L121" s="3"/>
      <c r="M121" s="2" t="s">
        <v>93</v>
      </c>
      <c r="N121" s="2"/>
    </row>
    <row r="122" spans="1:14" ht="13.5" customHeight="1" x14ac:dyDescent="0.3">
      <c r="A122" s="2" t="s">
        <v>308</v>
      </c>
      <c r="B122" s="3" t="s">
        <v>309</v>
      </c>
      <c r="C122" s="3" t="s">
        <v>25</v>
      </c>
      <c r="D122" s="3" t="s">
        <v>17</v>
      </c>
      <c r="E122" s="3" t="s">
        <v>18</v>
      </c>
      <c r="F122" s="2" t="s">
        <v>105</v>
      </c>
      <c r="G122" s="4">
        <v>45309</v>
      </c>
      <c r="H122" s="4">
        <v>45316</v>
      </c>
      <c r="I122" s="2"/>
      <c r="J122" s="5">
        <v>136004</v>
      </c>
      <c r="K122" s="2" t="s">
        <v>35</v>
      </c>
      <c r="L122" s="3"/>
      <c r="M122" s="2" t="s">
        <v>78</v>
      </c>
      <c r="N122" s="2"/>
    </row>
    <row r="123" spans="1:14" ht="13.5" customHeight="1" x14ac:dyDescent="0.3">
      <c r="A123" s="2" t="s">
        <v>310</v>
      </c>
      <c r="B123" s="3" t="s">
        <v>311</v>
      </c>
      <c r="C123" s="3" t="s">
        <v>39</v>
      </c>
      <c r="D123" s="3" t="s">
        <v>56</v>
      </c>
      <c r="E123" s="3" t="s">
        <v>57</v>
      </c>
      <c r="F123" s="2" t="s">
        <v>113</v>
      </c>
      <c r="G123" s="4">
        <v>45443</v>
      </c>
      <c r="H123" s="4">
        <v>45463</v>
      </c>
      <c r="I123" s="5">
        <v>527846</v>
      </c>
      <c r="J123" s="5">
        <v>527846</v>
      </c>
      <c r="K123" s="2" t="s">
        <v>43</v>
      </c>
      <c r="L123" s="3"/>
      <c r="M123" s="2" t="s">
        <v>36</v>
      </c>
      <c r="N123" s="2"/>
    </row>
    <row r="124" spans="1:14" ht="13.5" customHeight="1" x14ac:dyDescent="0.3">
      <c r="A124" s="2" t="s">
        <v>312</v>
      </c>
      <c r="B124" s="3" t="s">
        <v>313</v>
      </c>
      <c r="C124" s="3" t="s">
        <v>70</v>
      </c>
      <c r="D124" s="3" t="s">
        <v>40</v>
      </c>
      <c r="E124" s="3" t="s">
        <v>50</v>
      </c>
      <c r="F124" s="2" t="s">
        <v>81</v>
      </c>
      <c r="G124" s="4">
        <v>45499</v>
      </c>
      <c r="H124" s="4">
        <v>45506</v>
      </c>
      <c r="I124" s="5">
        <v>459624</v>
      </c>
      <c r="J124" s="5">
        <v>459624</v>
      </c>
      <c r="K124" s="2" t="s">
        <v>67</v>
      </c>
      <c r="L124" s="3"/>
      <c r="M124" s="2" t="s">
        <v>22</v>
      </c>
      <c r="N124" s="2"/>
    </row>
    <row r="125" spans="1:14" ht="13.5" customHeight="1" x14ac:dyDescent="0.3">
      <c r="A125" s="2" t="s">
        <v>314</v>
      </c>
      <c r="B125" s="3" t="s">
        <v>315</v>
      </c>
      <c r="C125" s="3" t="s">
        <v>70</v>
      </c>
      <c r="D125" s="3" t="s">
        <v>17</v>
      </c>
      <c r="E125" s="3" t="s">
        <v>33</v>
      </c>
      <c r="F125" s="2" t="s">
        <v>34</v>
      </c>
      <c r="G125" s="4">
        <v>45297</v>
      </c>
      <c r="H125" s="4">
        <v>45307</v>
      </c>
      <c r="I125" s="5">
        <v>695820</v>
      </c>
      <c r="J125" s="5">
        <v>695820</v>
      </c>
      <c r="K125" s="2" t="s">
        <v>67</v>
      </c>
      <c r="L125" s="3"/>
      <c r="M125" s="2" t="s">
        <v>59</v>
      </c>
      <c r="N125" s="2"/>
    </row>
    <row r="126" spans="1:14" ht="13.5" customHeight="1" x14ac:dyDescent="0.3">
      <c r="A126" s="2" t="s">
        <v>316</v>
      </c>
      <c r="B126" s="3" t="s">
        <v>317</v>
      </c>
      <c r="C126" s="3" t="s">
        <v>39</v>
      </c>
      <c r="D126" s="3" t="s">
        <v>56</v>
      </c>
      <c r="E126" s="3" t="s">
        <v>18</v>
      </c>
      <c r="F126" s="2" t="s">
        <v>19</v>
      </c>
      <c r="G126" s="4">
        <v>45413</v>
      </c>
      <c r="H126" s="4">
        <v>45414</v>
      </c>
      <c r="I126" s="5">
        <v>704542</v>
      </c>
      <c r="J126" s="5">
        <v>704542</v>
      </c>
      <c r="K126" s="2" t="s">
        <v>29</v>
      </c>
      <c r="L126" s="3"/>
      <c r="M126" s="2" t="s">
        <v>22</v>
      </c>
      <c r="N126" s="2"/>
    </row>
    <row r="127" spans="1:14" ht="13.5" customHeight="1" x14ac:dyDescent="0.3">
      <c r="A127" s="2" t="s">
        <v>318</v>
      </c>
      <c r="B127" s="3" t="s">
        <v>319</v>
      </c>
      <c r="C127" s="3" t="s">
        <v>25</v>
      </c>
      <c r="D127" s="3" t="s">
        <v>26</v>
      </c>
      <c r="E127" s="3" t="s">
        <v>50</v>
      </c>
      <c r="F127" s="2" t="s">
        <v>51</v>
      </c>
      <c r="G127" s="4">
        <v>45596</v>
      </c>
      <c r="H127" s="4">
        <v>45599</v>
      </c>
      <c r="I127" s="5">
        <v>80103</v>
      </c>
      <c r="J127" s="5">
        <v>80103</v>
      </c>
      <c r="K127" s="2" t="s">
        <v>29</v>
      </c>
      <c r="L127" s="3"/>
      <c r="M127" s="2" t="s">
        <v>121</v>
      </c>
      <c r="N127" s="2"/>
    </row>
    <row r="128" spans="1:14" ht="13.5" customHeight="1" x14ac:dyDescent="0.3">
      <c r="A128" s="2" t="s">
        <v>320</v>
      </c>
      <c r="B128" s="3" t="s">
        <v>321</v>
      </c>
      <c r="C128" s="3" t="s">
        <v>70</v>
      </c>
      <c r="D128" s="3" t="s">
        <v>17</v>
      </c>
      <c r="E128" s="3" t="s">
        <v>41</v>
      </c>
      <c r="F128" s="2" t="s">
        <v>42</v>
      </c>
      <c r="G128" s="4">
        <v>45563</v>
      </c>
      <c r="H128" s="4">
        <v>45564</v>
      </c>
      <c r="I128" s="5">
        <v>907177</v>
      </c>
      <c r="J128" s="5">
        <v>0</v>
      </c>
      <c r="K128" s="2" t="s">
        <v>20</v>
      </c>
      <c r="L128" s="3" t="s">
        <v>106</v>
      </c>
      <c r="M128" s="2" t="s">
        <v>36</v>
      </c>
      <c r="N128" s="2"/>
    </row>
    <row r="129" spans="1:14" ht="13.5" customHeight="1" x14ac:dyDescent="0.3">
      <c r="A129" s="2" t="s">
        <v>322</v>
      </c>
      <c r="B129" s="3" t="s">
        <v>323</v>
      </c>
      <c r="C129" s="3" t="s">
        <v>16</v>
      </c>
      <c r="D129" s="3" t="s">
        <v>56</v>
      </c>
      <c r="E129" s="3" t="s">
        <v>50</v>
      </c>
      <c r="F129" s="2" t="s">
        <v>51</v>
      </c>
      <c r="G129" s="4">
        <v>45333</v>
      </c>
      <c r="H129" s="4">
        <v>45336</v>
      </c>
      <c r="I129" s="5">
        <v>482467</v>
      </c>
      <c r="J129" s="5">
        <v>0</v>
      </c>
      <c r="K129" s="2" t="s">
        <v>20</v>
      </c>
      <c r="L129" s="3" t="s">
        <v>21</v>
      </c>
      <c r="M129" s="2" t="s">
        <v>144</v>
      </c>
      <c r="N129" s="2"/>
    </row>
    <row r="130" spans="1:14" ht="13.5" customHeight="1" x14ac:dyDescent="0.3">
      <c r="A130" s="2" t="s">
        <v>324</v>
      </c>
      <c r="B130" s="3" t="s">
        <v>325</v>
      </c>
      <c r="C130" s="3" t="s">
        <v>25</v>
      </c>
      <c r="D130" s="3" t="s">
        <v>26</v>
      </c>
      <c r="E130" s="3" t="s">
        <v>74</v>
      </c>
      <c r="F130" s="2" t="s">
        <v>34</v>
      </c>
      <c r="G130" s="4">
        <v>45492</v>
      </c>
      <c r="H130" s="4">
        <v>45502</v>
      </c>
      <c r="I130" s="5">
        <v>89581</v>
      </c>
      <c r="J130" s="5">
        <v>0</v>
      </c>
      <c r="K130" s="2" t="s">
        <v>20</v>
      </c>
      <c r="L130" s="3" t="s">
        <v>21</v>
      </c>
      <c r="M130" s="2" t="s">
        <v>96</v>
      </c>
      <c r="N130" s="2"/>
    </row>
    <row r="131" spans="1:14" ht="13.5" customHeight="1" x14ac:dyDescent="0.3">
      <c r="A131" s="2" t="s">
        <v>326</v>
      </c>
      <c r="B131" s="3" t="s">
        <v>327</v>
      </c>
      <c r="C131" s="3" t="s">
        <v>25</v>
      </c>
      <c r="D131" s="3" t="s">
        <v>40</v>
      </c>
      <c r="E131" s="3" t="s">
        <v>41</v>
      </c>
      <c r="F131" s="2" t="s">
        <v>42</v>
      </c>
      <c r="G131" s="4">
        <v>45312</v>
      </c>
      <c r="H131" s="4">
        <v>45332</v>
      </c>
      <c r="I131" s="5">
        <v>89390</v>
      </c>
      <c r="J131" s="5">
        <v>60989</v>
      </c>
      <c r="K131" s="2" t="s">
        <v>35</v>
      </c>
      <c r="L131" s="3"/>
      <c r="M131" s="2" t="s">
        <v>63</v>
      </c>
      <c r="N131" s="2"/>
    </row>
    <row r="132" spans="1:14" ht="13.5" customHeight="1" x14ac:dyDescent="0.3">
      <c r="A132" s="2" t="s">
        <v>328</v>
      </c>
      <c r="B132" s="3" t="s">
        <v>329</v>
      </c>
      <c r="C132" s="3" t="s">
        <v>25</v>
      </c>
      <c r="D132" s="3" t="s">
        <v>40</v>
      </c>
      <c r="E132" s="3" t="s">
        <v>41</v>
      </c>
      <c r="F132" s="2" t="s">
        <v>143</v>
      </c>
      <c r="G132" s="4">
        <v>45329</v>
      </c>
      <c r="H132" s="4"/>
      <c r="I132" s="5">
        <v>106702</v>
      </c>
      <c r="J132" s="2"/>
      <c r="K132" s="2" t="s">
        <v>75</v>
      </c>
      <c r="L132" s="3"/>
      <c r="M132" s="2" t="s">
        <v>96</v>
      </c>
      <c r="N132" s="2"/>
    </row>
    <row r="133" spans="1:14" ht="13.5" customHeight="1" x14ac:dyDescent="0.3">
      <c r="A133" s="2" t="s">
        <v>330</v>
      </c>
      <c r="B133" s="3" t="s">
        <v>331</v>
      </c>
      <c r="C133" s="3" t="s">
        <v>70</v>
      </c>
      <c r="D133" s="3" t="s">
        <v>17</v>
      </c>
      <c r="E133" s="3" t="s">
        <v>74</v>
      </c>
      <c r="F133" s="2" t="s">
        <v>34</v>
      </c>
      <c r="G133" s="4">
        <v>45486</v>
      </c>
      <c r="H133" s="4">
        <v>45500</v>
      </c>
      <c r="I133" s="5">
        <v>869937</v>
      </c>
      <c r="J133" s="5">
        <v>869937</v>
      </c>
      <c r="K133" s="2" t="s">
        <v>29</v>
      </c>
      <c r="L133" s="3"/>
      <c r="M133" s="2" t="s">
        <v>44</v>
      </c>
      <c r="N133" s="2"/>
    </row>
    <row r="134" spans="1:14" ht="13.5" customHeight="1" x14ac:dyDescent="0.3">
      <c r="A134" s="2" t="s">
        <v>332</v>
      </c>
      <c r="B134" s="3" t="s">
        <v>333</v>
      </c>
      <c r="C134" s="3" t="s">
        <v>70</v>
      </c>
      <c r="D134" s="3" t="s">
        <v>62</v>
      </c>
      <c r="E134" s="3" t="s">
        <v>50</v>
      </c>
      <c r="F134" s="2" t="s">
        <v>81</v>
      </c>
      <c r="G134" s="4">
        <v>45315</v>
      </c>
      <c r="H134" s="4">
        <v>45327</v>
      </c>
      <c r="I134" s="5">
        <v>806772</v>
      </c>
      <c r="J134" s="5">
        <v>806772</v>
      </c>
      <c r="K134" s="2" t="s">
        <v>43</v>
      </c>
      <c r="L134" s="3"/>
      <c r="M134" s="2" t="s">
        <v>63</v>
      </c>
      <c r="N134" s="2"/>
    </row>
    <row r="135" spans="1:14" ht="13.5" customHeight="1" x14ac:dyDescent="0.3">
      <c r="A135" s="2" t="s">
        <v>334</v>
      </c>
      <c r="B135" s="3" t="s">
        <v>335</v>
      </c>
      <c r="C135" s="3" t="s">
        <v>25</v>
      </c>
      <c r="D135" s="3" t="s">
        <v>62</v>
      </c>
      <c r="E135" s="3" t="s">
        <v>33</v>
      </c>
      <c r="F135" s="2" t="s">
        <v>34</v>
      </c>
      <c r="G135" s="4">
        <v>45533</v>
      </c>
      <c r="H135" s="4">
        <v>45534</v>
      </c>
      <c r="I135" s="5">
        <v>665347</v>
      </c>
      <c r="J135" s="5">
        <v>665347</v>
      </c>
      <c r="K135" s="2" t="s">
        <v>67</v>
      </c>
      <c r="L135" s="3"/>
      <c r="M135" s="2" t="s">
        <v>96</v>
      </c>
      <c r="N135" s="2"/>
    </row>
    <row r="136" spans="1:14" ht="13.5" customHeight="1" x14ac:dyDescent="0.3">
      <c r="A136" s="2" t="s">
        <v>336</v>
      </c>
      <c r="B136" s="3" t="s">
        <v>337</v>
      </c>
      <c r="C136" s="3" t="s">
        <v>70</v>
      </c>
      <c r="D136" s="3" t="s">
        <v>62</v>
      </c>
      <c r="E136" s="3" t="s">
        <v>50</v>
      </c>
      <c r="F136" s="2" t="s">
        <v>51</v>
      </c>
      <c r="G136" s="4">
        <v>45352</v>
      </c>
      <c r="H136" s="4">
        <v>45373</v>
      </c>
      <c r="I136" s="5">
        <v>584771</v>
      </c>
      <c r="J136" s="5">
        <v>584771</v>
      </c>
      <c r="K136" s="2" t="s">
        <v>29</v>
      </c>
      <c r="L136" s="3"/>
      <c r="M136" s="2" t="s">
        <v>30</v>
      </c>
      <c r="N136" s="2"/>
    </row>
    <row r="137" spans="1:14" ht="13.5" customHeight="1" x14ac:dyDescent="0.3">
      <c r="A137" s="2" t="s">
        <v>338</v>
      </c>
      <c r="B137" s="3" t="s">
        <v>339</v>
      </c>
      <c r="C137" s="3" t="s">
        <v>70</v>
      </c>
      <c r="D137" s="3" t="s">
        <v>26</v>
      </c>
      <c r="E137" s="3" t="s">
        <v>57</v>
      </c>
      <c r="F137" s="2" t="s">
        <v>66</v>
      </c>
      <c r="G137" s="4">
        <v>45451</v>
      </c>
      <c r="H137" s="4">
        <v>45467</v>
      </c>
      <c r="I137" s="5">
        <v>841912</v>
      </c>
      <c r="J137" s="5">
        <v>841912</v>
      </c>
      <c r="K137" s="2" t="s">
        <v>67</v>
      </c>
      <c r="L137" s="3"/>
      <c r="M137" s="2" t="s">
        <v>59</v>
      </c>
      <c r="N137" s="2"/>
    </row>
    <row r="138" spans="1:14" ht="13.5" customHeight="1" x14ac:dyDescent="0.3">
      <c r="A138" s="2" t="s">
        <v>340</v>
      </c>
      <c r="B138" s="3" t="s">
        <v>341</v>
      </c>
      <c r="C138" s="3" t="s">
        <v>70</v>
      </c>
      <c r="D138" s="3" t="s">
        <v>26</v>
      </c>
      <c r="E138" s="3" t="s">
        <v>41</v>
      </c>
      <c r="F138" s="2" t="s">
        <v>143</v>
      </c>
      <c r="G138" s="4">
        <v>45567</v>
      </c>
      <c r="H138" s="4">
        <v>45581</v>
      </c>
      <c r="I138" s="5">
        <v>757092</v>
      </c>
      <c r="J138" s="5">
        <v>0</v>
      </c>
      <c r="K138" s="2" t="s">
        <v>20</v>
      </c>
      <c r="L138" s="3" t="s">
        <v>71</v>
      </c>
      <c r="M138" s="2" t="s">
        <v>144</v>
      </c>
      <c r="N138" s="2"/>
    </row>
    <row r="139" spans="1:14" ht="13.5" customHeight="1" x14ac:dyDescent="0.3">
      <c r="A139" s="2" t="s">
        <v>342</v>
      </c>
      <c r="B139" s="3" t="s">
        <v>343</v>
      </c>
      <c r="C139" s="3" t="s">
        <v>25</v>
      </c>
      <c r="D139" s="3" t="s">
        <v>26</v>
      </c>
      <c r="E139" s="3" t="s">
        <v>57</v>
      </c>
      <c r="F139" s="2" t="s">
        <v>58</v>
      </c>
      <c r="G139" s="4">
        <v>45451</v>
      </c>
      <c r="H139" s="4">
        <v>45464</v>
      </c>
      <c r="I139" s="5">
        <v>140259</v>
      </c>
      <c r="J139" s="5">
        <v>140259</v>
      </c>
      <c r="K139" s="2" t="s">
        <v>29</v>
      </c>
      <c r="L139" s="3"/>
      <c r="M139" s="2" t="s">
        <v>78</v>
      </c>
      <c r="N139" s="2"/>
    </row>
    <row r="140" spans="1:14" ht="13.5" customHeight="1" x14ac:dyDescent="0.3">
      <c r="A140" s="2" t="s">
        <v>344</v>
      </c>
      <c r="B140" s="3" t="s">
        <v>345</v>
      </c>
      <c r="C140" s="3" t="s">
        <v>25</v>
      </c>
      <c r="D140" s="3" t="s">
        <v>26</v>
      </c>
      <c r="E140" s="3" t="s">
        <v>41</v>
      </c>
      <c r="F140" s="2" t="s">
        <v>42</v>
      </c>
      <c r="G140" s="4">
        <v>45597</v>
      </c>
      <c r="H140" s="4">
        <v>45603</v>
      </c>
      <c r="I140" s="5">
        <v>418711</v>
      </c>
      <c r="J140" s="5">
        <v>418711</v>
      </c>
      <c r="K140" s="2" t="s">
        <v>67</v>
      </c>
      <c r="L140" s="3"/>
      <c r="M140" s="2" t="s">
        <v>59</v>
      </c>
      <c r="N140" s="2"/>
    </row>
    <row r="141" spans="1:14" ht="13.5" customHeight="1" x14ac:dyDescent="0.3">
      <c r="A141" s="2" t="s">
        <v>346</v>
      </c>
      <c r="B141" s="3" t="s">
        <v>347</v>
      </c>
      <c r="C141" s="3" t="s">
        <v>39</v>
      </c>
      <c r="D141" s="3" t="s">
        <v>62</v>
      </c>
      <c r="E141" s="3" t="s">
        <v>27</v>
      </c>
      <c r="F141" s="2" t="s">
        <v>120</v>
      </c>
      <c r="G141" s="4">
        <v>45363</v>
      </c>
      <c r="H141" s="4"/>
      <c r="I141" s="5">
        <v>109698</v>
      </c>
      <c r="J141" s="2"/>
      <c r="K141" s="2" t="s">
        <v>75</v>
      </c>
      <c r="L141" s="3"/>
      <c r="M141" s="2" t="s">
        <v>78</v>
      </c>
      <c r="N141" s="2"/>
    </row>
    <row r="142" spans="1:14" ht="13.5" customHeight="1" x14ac:dyDescent="0.3">
      <c r="A142" s="2" t="s">
        <v>348</v>
      </c>
      <c r="B142" s="3" t="s">
        <v>349</v>
      </c>
      <c r="C142" s="3" t="s">
        <v>25</v>
      </c>
      <c r="D142" s="3" t="s">
        <v>40</v>
      </c>
      <c r="E142" s="3" t="s">
        <v>18</v>
      </c>
      <c r="F142" s="2" t="s">
        <v>19</v>
      </c>
      <c r="G142" s="4">
        <v>45469</v>
      </c>
      <c r="H142" s="4">
        <v>45485</v>
      </c>
      <c r="I142" s="5">
        <v>588569</v>
      </c>
      <c r="J142" s="5">
        <v>588569</v>
      </c>
      <c r="K142" s="2" t="s">
        <v>43</v>
      </c>
      <c r="L142" s="3"/>
      <c r="M142" s="2" t="s">
        <v>36</v>
      </c>
      <c r="N142" s="2"/>
    </row>
    <row r="143" spans="1:14" ht="13.5" customHeight="1" x14ac:dyDescent="0.3">
      <c r="A143" s="2" t="s">
        <v>350</v>
      </c>
      <c r="B143" s="3" t="s">
        <v>351</v>
      </c>
      <c r="C143" s="3" t="s">
        <v>39</v>
      </c>
      <c r="D143" s="3" t="s">
        <v>26</v>
      </c>
      <c r="E143" s="3" t="s">
        <v>57</v>
      </c>
      <c r="F143" s="2" t="s">
        <v>66</v>
      </c>
      <c r="G143" s="4">
        <v>45321</v>
      </c>
      <c r="H143" s="4">
        <v>45326</v>
      </c>
      <c r="I143" s="5">
        <v>588254</v>
      </c>
      <c r="J143" s="5">
        <v>588254</v>
      </c>
      <c r="K143" s="2" t="s">
        <v>29</v>
      </c>
      <c r="L143" s="3"/>
      <c r="M143" s="2" t="s">
        <v>22</v>
      </c>
      <c r="N143" s="2"/>
    </row>
    <row r="144" spans="1:14" ht="13.5" customHeight="1" x14ac:dyDescent="0.3">
      <c r="A144" s="2" t="s">
        <v>352</v>
      </c>
      <c r="B144" s="3" t="s">
        <v>353</v>
      </c>
      <c r="C144" s="3" t="s">
        <v>70</v>
      </c>
      <c r="D144" s="3" t="s">
        <v>62</v>
      </c>
      <c r="E144" s="3" t="s">
        <v>41</v>
      </c>
      <c r="F144" s="2" t="s">
        <v>42</v>
      </c>
      <c r="G144" s="4">
        <v>45613</v>
      </c>
      <c r="H144" s="4">
        <v>45623</v>
      </c>
      <c r="I144" s="5">
        <v>377229</v>
      </c>
      <c r="J144" s="5">
        <v>0</v>
      </c>
      <c r="K144" s="2" t="s">
        <v>20</v>
      </c>
      <c r="L144" s="3" t="s">
        <v>114</v>
      </c>
      <c r="M144" s="2" t="s">
        <v>144</v>
      </c>
      <c r="N144" s="2"/>
    </row>
    <row r="145" spans="1:14" ht="13.5" customHeight="1" x14ac:dyDescent="0.3">
      <c r="A145" s="2" t="s">
        <v>354</v>
      </c>
      <c r="B145" s="3" t="s">
        <v>355</v>
      </c>
      <c r="C145" s="3" t="s">
        <v>25</v>
      </c>
      <c r="D145" s="3" t="s">
        <v>56</v>
      </c>
      <c r="E145" s="3" t="s">
        <v>27</v>
      </c>
      <c r="F145" s="2" t="s">
        <v>120</v>
      </c>
      <c r="G145" s="4">
        <v>45551</v>
      </c>
      <c r="H145" s="4">
        <v>45561</v>
      </c>
      <c r="I145" s="5">
        <v>741183</v>
      </c>
      <c r="J145" s="5">
        <v>416251</v>
      </c>
      <c r="K145" s="2" t="s">
        <v>35</v>
      </c>
      <c r="L145" s="3"/>
      <c r="M145" s="2" t="s">
        <v>93</v>
      </c>
      <c r="N145" s="2"/>
    </row>
    <row r="146" spans="1:14" ht="13.5" customHeight="1" x14ac:dyDescent="0.3">
      <c r="A146" s="2" t="s">
        <v>356</v>
      </c>
      <c r="B146" s="3" t="s">
        <v>357</v>
      </c>
      <c r="C146" s="3" t="s">
        <v>16</v>
      </c>
      <c r="D146" s="3" t="s">
        <v>17</v>
      </c>
      <c r="E146" s="3" t="s">
        <v>57</v>
      </c>
      <c r="F146" s="2" t="s">
        <v>66</v>
      </c>
      <c r="G146" s="4">
        <v>45644</v>
      </c>
      <c r="H146" s="4">
        <v>45646</v>
      </c>
      <c r="I146" s="5">
        <v>827232</v>
      </c>
      <c r="J146" s="5">
        <v>0</v>
      </c>
      <c r="K146" s="2" t="s">
        <v>20</v>
      </c>
      <c r="L146" s="3" t="s">
        <v>52</v>
      </c>
      <c r="M146" s="2" t="s">
        <v>63</v>
      </c>
      <c r="N146" s="2"/>
    </row>
    <row r="147" spans="1:14" ht="13.5" customHeight="1" x14ac:dyDescent="0.3">
      <c r="A147" s="2" t="s">
        <v>358</v>
      </c>
      <c r="B147" s="3" t="s">
        <v>359</v>
      </c>
      <c r="C147" s="3" t="s">
        <v>70</v>
      </c>
      <c r="D147" s="3" t="s">
        <v>40</v>
      </c>
      <c r="E147" s="3" t="s">
        <v>27</v>
      </c>
      <c r="F147" s="2" t="s">
        <v>120</v>
      </c>
      <c r="G147" s="4">
        <v>45573</v>
      </c>
      <c r="H147" s="4">
        <v>45588</v>
      </c>
      <c r="I147" s="5">
        <v>804129</v>
      </c>
      <c r="J147" s="5">
        <v>804129</v>
      </c>
      <c r="K147" s="2" t="s">
        <v>29</v>
      </c>
      <c r="L147" s="3"/>
      <c r="M147" s="2" t="s">
        <v>117</v>
      </c>
      <c r="N147" s="2"/>
    </row>
    <row r="148" spans="1:14" ht="13.5" customHeight="1" x14ac:dyDescent="0.3">
      <c r="A148" s="2" t="s">
        <v>360</v>
      </c>
      <c r="B148" s="3" t="s">
        <v>361</v>
      </c>
      <c r="C148" s="3" t="s">
        <v>25</v>
      </c>
      <c r="D148" s="3" t="s">
        <v>56</v>
      </c>
      <c r="E148" s="3" t="s">
        <v>18</v>
      </c>
      <c r="F148" s="2" t="s">
        <v>19</v>
      </c>
      <c r="G148" s="4">
        <v>45392</v>
      </c>
      <c r="H148" s="4">
        <v>45404</v>
      </c>
      <c r="I148" s="2"/>
      <c r="J148" s="5">
        <v>765230</v>
      </c>
      <c r="K148" s="2" t="s">
        <v>67</v>
      </c>
      <c r="L148" s="3"/>
      <c r="M148" s="2" t="s">
        <v>117</v>
      </c>
      <c r="N148" s="2"/>
    </row>
    <row r="149" spans="1:14" ht="13.5" customHeight="1" x14ac:dyDescent="0.3">
      <c r="A149" s="2" t="s">
        <v>362</v>
      </c>
      <c r="B149" s="3" t="s">
        <v>363</v>
      </c>
      <c r="C149" s="3" t="s">
        <v>70</v>
      </c>
      <c r="D149" s="3" t="s">
        <v>40</v>
      </c>
      <c r="E149" s="3" t="s">
        <v>57</v>
      </c>
      <c r="F149" s="2" t="s">
        <v>113</v>
      </c>
      <c r="G149" s="4">
        <v>45486</v>
      </c>
      <c r="H149" s="4">
        <v>45504</v>
      </c>
      <c r="I149" s="5">
        <v>423264</v>
      </c>
      <c r="J149" s="5">
        <v>423264</v>
      </c>
      <c r="K149" s="2" t="s">
        <v>29</v>
      </c>
      <c r="L149" s="3"/>
      <c r="M149" s="2" t="s">
        <v>53</v>
      </c>
      <c r="N149" s="2"/>
    </row>
    <row r="150" spans="1:14" ht="13.5" customHeight="1" x14ac:dyDescent="0.3">
      <c r="A150" s="2" t="s">
        <v>364</v>
      </c>
      <c r="B150" s="3" t="s">
        <v>365</v>
      </c>
      <c r="C150" s="3" t="s">
        <v>70</v>
      </c>
      <c r="D150" s="3" t="s">
        <v>56</v>
      </c>
      <c r="E150" s="3" t="s">
        <v>74</v>
      </c>
      <c r="F150" s="2" t="s">
        <v>34</v>
      </c>
      <c r="G150" s="4">
        <v>45521</v>
      </c>
      <c r="H150" s="4">
        <v>45530</v>
      </c>
      <c r="I150" s="5">
        <v>50322</v>
      </c>
      <c r="J150" s="5">
        <v>37159</v>
      </c>
      <c r="K150" s="2" t="s">
        <v>35</v>
      </c>
      <c r="L150" s="3"/>
      <c r="M150" s="2" t="s">
        <v>36</v>
      </c>
      <c r="N150" s="2"/>
    </row>
    <row r="151" spans="1:14" ht="13.5" customHeight="1" x14ac:dyDescent="0.3">
      <c r="A151" s="2" t="s">
        <v>366</v>
      </c>
      <c r="B151" s="3" t="s">
        <v>367</v>
      </c>
      <c r="C151" s="3" t="s">
        <v>70</v>
      </c>
      <c r="D151" s="3" t="s">
        <v>62</v>
      </c>
      <c r="E151" s="3" t="s">
        <v>50</v>
      </c>
      <c r="F151" s="2" t="s">
        <v>81</v>
      </c>
      <c r="G151" s="4">
        <v>45334</v>
      </c>
      <c r="H151" s="4">
        <v>45352</v>
      </c>
      <c r="I151" s="5">
        <v>336965</v>
      </c>
      <c r="J151" s="5">
        <v>232107</v>
      </c>
      <c r="K151" s="2" t="s">
        <v>35</v>
      </c>
      <c r="L151" s="3"/>
      <c r="M151" s="2" t="s">
        <v>88</v>
      </c>
      <c r="N151" s="2"/>
    </row>
    <row r="152" spans="1:14" ht="13.5" customHeight="1" x14ac:dyDescent="0.3">
      <c r="A152" s="2" t="s">
        <v>368</v>
      </c>
      <c r="B152" s="3" t="s">
        <v>369</v>
      </c>
      <c r="C152" s="3" t="s">
        <v>16</v>
      </c>
      <c r="D152" s="3" t="s">
        <v>17</v>
      </c>
      <c r="E152" s="3" t="s">
        <v>33</v>
      </c>
      <c r="F152" s="2" t="s">
        <v>47</v>
      </c>
      <c r="G152" s="4">
        <v>45303</v>
      </c>
      <c r="H152" s="4">
        <v>45306</v>
      </c>
      <c r="I152" s="5">
        <v>252118</v>
      </c>
      <c r="J152" s="5">
        <v>252118</v>
      </c>
      <c r="K152" s="2" t="s">
        <v>43</v>
      </c>
      <c r="L152" s="3"/>
      <c r="M152" s="2" t="s">
        <v>117</v>
      </c>
      <c r="N152" s="2"/>
    </row>
    <row r="153" spans="1:14" ht="13.5" customHeight="1" x14ac:dyDescent="0.3">
      <c r="A153" s="2" t="s">
        <v>370</v>
      </c>
      <c r="B153" s="3" t="s">
        <v>371</v>
      </c>
      <c r="C153" s="3" t="s">
        <v>39</v>
      </c>
      <c r="D153" s="3" t="s">
        <v>40</v>
      </c>
      <c r="E153" s="3" t="s">
        <v>41</v>
      </c>
      <c r="F153" s="2" t="s">
        <v>42</v>
      </c>
      <c r="G153" s="4">
        <v>45546</v>
      </c>
      <c r="H153" s="4">
        <v>45564</v>
      </c>
      <c r="I153" s="5">
        <v>429154</v>
      </c>
      <c r="J153" s="5">
        <v>429154</v>
      </c>
      <c r="K153" s="2" t="s">
        <v>29</v>
      </c>
      <c r="L153" s="3"/>
      <c r="M153" s="2" t="s">
        <v>22</v>
      </c>
      <c r="N153" s="2"/>
    </row>
    <row r="154" spans="1:14" ht="13.5" customHeight="1" x14ac:dyDescent="0.3">
      <c r="A154" s="2" t="s">
        <v>372</v>
      </c>
      <c r="B154" s="3" t="s">
        <v>373</v>
      </c>
      <c r="C154" s="3" t="s">
        <v>25</v>
      </c>
      <c r="D154" s="3" t="s">
        <v>26</v>
      </c>
      <c r="E154" s="3" t="s">
        <v>74</v>
      </c>
      <c r="F154" s="2" t="s">
        <v>47</v>
      </c>
      <c r="G154" s="4">
        <v>45615</v>
      </c>
      <c r="H154" s="4">
        <v>45632</v>
      </c>
      <c r="I154" s="5">
        <v>863808</v>
      </c>
      <c r="J154" s="5">
        <v>863808</v>
      </c>
      <c r="K154" s="2" t="s">
        <v>29</v>
      </c>
      <c r="L154" s="3"/>
      <c r="M154" s="2" t="s">
        <v>93</v>
      </c>
      <c r="N154" s="2"/>
    </row>
    <row r="155" spans="1:14" ht="13.5" customHeight="1" x14ac:dyDescent="0.3">
      <c r="A155" s="2" t="s">
        <v>374</v>
      </c>
      <c r="B155" s="3" t="s">
        <v>375</v>
      </c>
      <c r="C155" s="3" t="s">
        <v>70</v>
      </c>
      <c r="D155" s="3" t="s">
        <v>62</v>
      </c>
      <c r="E155" s="3" t="s">
        <v>41</v>
      </c>
      <c r="F155" s="2" t="s">
        <v>42</v>
      </c>
      <c r="G155" s="4">
        <v>45482</v>
      </c>
      <c r="H155" s="4">
        <v>45498</v>
      </c>
      <c r="I155" s="5">
        <v>401198</v>
      </c>
      <c r="J155" s="5">
        <v>401198</v>
      </c>
      <c r="K155" s="2" t="s">
        <v>67</v>
      </c>
      <c r="L155" s="3"/>
      <c r="M155" s="2" t="s">
        <v>121</v>
      </c>
      <c r="N155" s="2"/>
    </row>
    <row r="156" spans="1:14" ht="13.5" customHeight="1" x14ac:dyDescent="0.3">
      <c r="A156" s="2" t="s">
        <v>376</v>
      </c>
      <c r="B156" s="3" t="s">
        <v>377</v>
      </c>
      <c r="C156" s="3" t="s">
        <v>25</v>
      </c>
      <c r="D156" s="3" t="s">
        <v>17</v>
      </c>
      <c r="E156" s="3" t="s">
        <v>50</v>
      </c>
      <c r="F156" s="2" t="s">
        <v>51</v>
      </c>
      <c r="G156" s="4">
        <v>45532</v>
      </c>
      <c r="H156" s="4">
        <v>45545</v>
      </c>
      <c r="I156" s="5">
        <v>159945</v>
      </c>
      <c r="J156" s="5">
        <v>0</v>
      </c>
      <c r="K156" s="2" t="s">
        <v>20</v>
      </c>
      <c r="L156" s="3" t="s">
        <v>71</v>
      </c>
      <c r="M156" s="2" t="s">
        <v>30</v>
      </c>
      <c r="N156" s="2"/>
    </row>
    <row r="157" spans="1:14" ht="13.5" customHeight="1" x14ac:dyDescent="0.3">
      <c r="A157" s="2" t="s">
        <v>378</v>
      </c>
      <c r="B157" s="3" t="s">
        <v>379</v>
      </c>
      <c r="C157" s="3" t="s">
        <v>70</v>
      </c>
      <c r="D157" s="3" t="s">
        <v>62</v>
      </c>
      <c r="E157" s="3" t="s">
        <v>33</v>
      </c>
      <c r="F157" s="2" t="s">
        <v>34</v>
      </c>
      <c r="G157" s="4">
        <v>45651</v>
      </c>
      <c r="H157" s="4">
        <v>45666</v>
      </c>
      <c r="I157" s="5">
        <v>722328</v>
      </c>
      <c r="J157" s="5">
        <v>722328</v>
      </c>
      <c r="K157" s="2" t="s">
        <v>43</v>
      </c>
      <c r="L157" s="3"/>
      <c r="M157" s="2" t="s">
        <v>78</v>
      </c>
      <c r="N157" s="2"/>
    </row>
    <row r="158" spans="1:14" ht="13.5" customHeight="1" x14ac:dyDescent="0.3">
      <c r="A158" s="2" t="s">
        <v>380</v>
      </c>
      <c r="B158" s="3" t="s">
        <v>381</v>
      </c>
      <c r="C158" s="3" t="s">
        <v>39</v>
      </c>
      <c r="D158" s="3" t="s">
        <v>40</v>
      </c>
      <c r="E158" s="3" t="s">
        <v>33</v>
      </c>
      <c r="F158" s="2" t="s">
        <v>47</v>
      </c>
      <c r="G158" s="4">
        <v>45593</v>
      </c>
      <c r="H158" s="4">
        <v>45598</v>
      </c>
      <c r="I158" s="5">
        <v>12292</v>
      </c>
      <c r="J158" s="5">
        <v>12292</v>
      </c>
      <c r="K158" s="2" t="s">
        <v>29</v>
      </c>
      <c r="L158" s="3"/>
      <c r="M158" s="2" t="s">
        <v>53</v>
      </c>
      <c r="N158" s="2"/>
    </row>
    <row r="159" spans="1:14" ht="13.5" customHeight="1" x14ac:dyDescent="0.3">
      <c r="A159" s="2" t="s">
        <v>382</v>
      </c>
      <c r="B159" s="3" t="s">
        <v>383</v>
      </c>
      <c r="C159" s="3" t="s">
        <v>25</v>
      </c>
      <c r="D159" s="3" t="s">
        <v>62</v>
      </c>
      <c r="E159" s="3" t="s">
        <v>74</v>
      </c>
      <c r="F159" s="2" t="s">
        <v>47</v>
      </c>
      <c r="G159" s="4">
        <v>45412</v>
      </c>
      <c r="H159" s="4">
        <v>45416</v>
      </c>
      <c r="I159" s="5">
        <v>223186</v>
      </c>
      <c r="J159" s="5">
        <v>0</v>
      </c>
      <c r="K159" s="2" t="s">
        <v>20</v>
      </c>
      <c r="L159" s="3" t="s">
        <v>106</v>
      </c>
      <c r="M159" s="2" t="s">
        <v>78</v>
      </c>
      <c r="N159" s="2"/>
    </row>
    <row r="160" spans="1:14" ht="13.5" customHeight="1" x14ac:dyDescent="0.3">
      <c r="A160" s="2" t="s">
        <v>384</v>
      </c>
      <c r="B160" s="3" t="s">
        <v>385</v>
      </c>
      <c r="C160" s="3" t="s">
        <v>39</v>
      </c>
      <c r="D160" s="3" t="s">
        <v>62</v>
      </c>
      <c r="E160" s="3" t="s">
        <v>57</v>
      </c>
      <c r="F160" s="2" t="s">
        <v>66</v>
      </c>
      <c r="G160" s="4">
        <v>45504</v>
      </c>
      <c r="H160" s="4">
        <v>45506</v>
      </c>
      <c r="I160" s="5">
        <v>363054</v>
      </c>
      <c r="J160" s="5">
        <v>0</v>
      </c>
      <c r="K160" s="2" t="s">
        <v>20</v>
      </c>
      <c r="L160" s="3" t="s">
        <v>114</v>
      </c>
      <c r="M160" s="2" t="s">
        <v>88</v>
      </c>
      <c r="N160" s="2"/>
    </row>
    <row r="161" spans="1:14" ht="13.5" customHeight="1" x14ac:dyDescent="0.3">
      <c r="A161" s="2" t="s">
        <v>386</v>
      </c>
      <c r="B161" s="3" t="s">
        <v>387</v>
      </c>
      <c r="C161" s="3" t="s">
        <v>16</v>
      </c>
      <c r="D161" s="3" t="s">
        <v>56</v>
      </c>
      <c r="E161" s="3" t="s">
        <v>50</v>
      </c>
      <c r="F161" s="2" t="s">
        <v>51</v>
      </c>
      <c r="G161" s="4">
        <v>45588</v>
      </c>
      <c r="H161" s="4">
        <v>45609</v>
      </c>
      <c r="I161" s="5">
        <v>492460</v>
      </c>
      <c r="J161" s="5">
        <v>492460</v>
      </c>
      <c r="K161" s="2" t="s">
        <v>29</v>
      </c>
      <c r="L161" s="3"/>
      <c r="M161" s="2" t="s">
        <v>36</v>
      </c>
      <c r="N161" s="2"/>
    </row>
    <row r="162" spans="1:14" ht="13.5" customHeight="1" x14ac:dyDescent="0.3">
      <c r="A162" s="2" t="s">
        <v>388</v>
      </c>
      <c r="B162" s="3" t="s">
        <v>389</v>
      </c>
      <c r="C162" s="3" t="s">
        <v>70</v>
      </c>
      <c r="D162" s="3" t="s">
        <v>62</v>
      </c>
      <c r="E162" s="3" t="s">
        <v>27</v>
      </c>
      <c r="F162" s="2" t="s">
        <v>28</v>
      </c>
      <c r="G162" s="4">
        <v>45364</v>
      </c>
      <c r="H162" s="4">
        <v>45385</v>
      </c>
      <c r="I162" s="5">
        <v>645621</v>
      </c>
      <c r="J162" s="5">
        <v>645621</v>
      </c>
      <c r="K162" s="2" t="s">
        <v>43</v>
      </c>
      <c r="L162" s="3"/>
      <c r="M162" s="2" t="s">
        <v>30</v>
      </c>
      <c r="N162" s="2"/>
    </row>
    <row r="163" spans="1:14" ht="13.5" customHeight="1" x14ac:dyDescent="0.3">
      <c r="A163" s="2" t="s">
        <v>390</v>
      </c>
      <c r="B163" s="3" t="s">
        <v>391</v>
      </c>
      <c r="C163" s="3" t="s">
        <v>70</v>
      </c>
      <c r="D163" s="3" t="s">
        <v>17</v>
      </c>
      <c r="E163" s="3" t="s">
        <v>27</v>
      </c>
      <c r="F163" s="2" t="s">
        <v>120</v>
      </c>
      <c r="G163" s="4">
        <v>45346</v>
      </c>
      <c r="H163" s="4">
        <v>45356</v>
      </c>
      <c r="I163" s="5">
        <v>67582</v>
      </c>
      <c r="J163" s="5">
        <v>28671</v>
      </c>
      <c r="K163" s="2" t="s">
        <v>35</v>
      </c>
      <c r="L163" s="3"/>
      <c r="M163" s="2" t="s">
        <v>59</v>
      </c>
      <c r="N163" s="2"/>
    </row>
    <row r="164" spans="1:14" ht="13.5" customHeight="1" x14ac:dyDescent="0.3">
      <c r="A164" s="2" t="s">
        <v>392</v>
      </c>
      <c r="B164" s="3" t="s">
        <v>393</v>
      </c>
      <c r="C164" s="3" t="s">
        <v>25</v>
      </c>
      <c r="D164" s="3" t="s">
        <v>40</v>
      </c>
      <c r="E164" s="3" t="s">
        <v>57</v>
      </c>
      <c r="F164" s="2" t="s">
        <v>113</v>
      </c>
      <c r="G164" s="4">
        <v>45637</v>
      </c>
      <c r="H164" s="4">
        <v>45657</v>
      </c>
      <c r="I164" s="5">
        <v>281426</v>
      </c>
      <c r="J164" s="5">
        <v>281426</v>
      </c>
      <c r="K164" s="2" t="s">
        <v>43</v>
      </c>
      <c r="L164" s="3"/>
      <c r="M164" s="2" t="s">
        <v>132</v>
      </c>
      <c r="N164" s="2"/>
    </row>
    <row r="165" spans="1:14" ht="13.5" customHeight="1" x14ac:dyDescent="0.3">
      <c r="A165" s="2" t="s">
        <v>394</v>
      </c>
      <c r="B165" s="3" t="s">
        <v>395</v>
      </c>
      <c r="C165" s="3" t="s">
        <v>25</v>
      </c>
      <c r="D165" s="3" t="s">
        <v>17</v>
      </c>
      <c r="E165" s="3" t="s">
        <v>74</v>
      </c>
      <c r="F165" s="2" t="s">
        <v>34</v>
      </c>
      <c r="G165" s="4">
        <v>45643</v>
      </c>
      <c r="H165" s="4">
        <v>45655</v>
      </c>
      <c r="I165" s="5">
        <v>944199</v>
      </c>
      <c r="J165" s="5">
        <v>0</v>
      </c>
      <c r="K165" s="2" t="s">
        <v>20</v>
      </c>
      <c r="L165" s="3" t="s">
        <v>21</v>
      </c>
      <c r="M165" s="2" t="s">
        <v>96</v>
      </c>
      <c r="N165" s="2"/>
    </row>
    <row r="166" spans="1:14" ht="13.5" customHeight="1" x14ac:dyDescent="0.3">
      <c r="A166" s="2" t="s">
        <v>396</v>
      </c>
      <c r="B166" s="3" t="s">
        <v>397</v>
      </c>
      <c r="C166" s="3" t="s">
        <v>70</v>
      </c>
      <c r="D166" s="3" t="s">
        <v>56</v>
      </c>
      <c r="E166" s="3" t="s">
        <v>27</v>
      </c>
      <c r="F166" s="2" t="s">
        <v>120</v>
      </c>
      <c r="G166" s="4">
        <v>45292</v>
      </c>
      <c r="H166" s="4">
        <v>45307</v>
      </c>
      <c r="I166" s="5">
        <v>905017</v>
      </c>
      <c r="J166" s="5">
        <v>905017</v>
      </c>
      <c r="K166" s="2" t="s">
        <v>43</v>
      </c>
      <c r="L166" s="3"/>
      <c r="M166" s="2" t="s">
        <v>36</v>
      </c>
      <c r="N166" s="2"/>
    </row>
    <row r="167" spans="1:14" ht="13.5" customHeight="1" x14ac:dyDescent="0.3">
      <c r="A167" s="2" t="s">
        <v>398</v>
      </c>
      <c r="B167" s="3" t="s">
        <v>399</v>
      </c>
      <c r="C167" s="3" t="s">
        <v>70</v>
      </c>
      <c r="D167" s="3" t="s">
        <v>17</v>
      </c>
      <c r="E167" s="3" t="s">
        <v>27</v>
      </c>
      <c r="F167" s="2" t="s">
        <v>120</v>
      </c>
      <c r="G167" s="4">
        <v>45335</v>
      </c>
      <c r="H167" s="4">
        <v>45350</v>
      </c>
      <c r="I167" s="5">
        <v>163616</v>
      </c>
      <c r="J167" s="5">
        <v>163616</v>
      </c>
      <c r="K167" s="2" t="s">
        <v>43</v>
      </c>
      <c r="L167" s="3"/>
      <c r="M167" s="2" t="s">
        <v>22</v>
      </c>
      <c r="N167" s="2"/>
    </row>
    <row r="168" spans="1:14" ht="13.5" customHeight="1" x14ac:dyDescent="0.3">
      <c r="A168" s="2" t="s">
        <v>400</v>
      </c>
      <c r="B168" s="3" t="s">
        <v>401</v>
      </c>
      <c r="C168" s="3" t="s">
        <v>25</v>
      </c>
      <c r="D168" s="3" t="s">
        <v>62</v>
      </c>
      <c r="E168" s="3" t="s">
        <v>41</v>
      </c>
      <c r="F168" s="2" t="s">
        <v>42</v>
      </c>
      <c r="G168" s="4">
        <v>45451</v>
      </c>
      <c r="H168" s="4">
        <v>45465</v>
      </c>
      <c r="I168" s="5">
        <v>182060</v>
      </c>
      <c r="J168" s="5">
        <v>0</v>
      </c>
      <c r="K168" s="2" t="s">
        <v>20</v>
      </c>
      <c r="L168" s="3" t="s">
        <v>106</v>
      </c>
      <c r="M168" s="2" t="s">
        <v>53</v>
      </c>
      <c r="N168" s="2"/>
    </row>
    <row r="169" spans="1:14" ht="13.5" customHeight="1" x14ac:dyDescent="0.3">
      <c r="A169" s="2" t="s">
        <v>402</v>
      </c>
      <c r="B169" s="3" t="s">
        <v>403</v>
      </c>
      <c r="C169" s="3" t="s">
        <v>25</v>
      </c>
      <c r="D169" s="3" t="s">
        <v>26</v>
      </c>
      <c r="E169" s="3" t="s">
        <v>33</v>
      </c>
      <c r="F169" s="2" t="s">
        <v>163</v>
      </c>
      <c r="G169" s="4">
        <v>45354</v>
      </c>
      <c r="H169" s="4">
        <v>45373</v>
      </c>
      <c r="I169" s="5">
        <v>575906</v>
      </c>
      <c r="J169" s="5">
        <v>575906</v>
      </c>
      <c r="K169" s="2" t="s">
        <v>67</v>
      </c>
      <c r="L169" s="3"/>
      <c r="M169" s="2" t="s">
        <v>36</v>
      </c>
      <c r="N169" s="2"/>
    </row>
    <row r="170" spans="1:14" ht="13.5" customHeight="1" x14ac:dyDescent="0.3">
      <c r="A170" s="2" t="s">
        <v>404</v>
      </c>
      <c r="B170" s="3" t="s">
        <v>405</v>
      </c>
      <c r="C170" s="3" t="s">
        <v>39</v>
      </c>
      <c r="D170" s="3" t="s">
        <v>56</v>
      </c>
      <c r="E170" s="3" t="s">
        <v>33</v>
      </c>
      <c r="F170" s="2" t="s">
        <v>47</v>
      </c>
      <c r="G170" s="4">
        <v>45309</v>
      </c>
      <c r="H170" s="4">
        <v>45316</v>
      </c>
      <c r="I170" s="5">
        <v>277500</v>
      </c>
      <c r="J170" s="5">
        <v>277500</v>
      </c>
      <c r="K170" s="2" t="s">
        <v>67</v>
      </c>
      <c r="L170" s="3"/>
      <c r="M170" s="2" t="s">
        <v>93</v>
      </c>
      <c r="N170" s="2"/>
    </row>
    <row r="171" spans="1:14" ht="13.5" customHeight="1" x14ac:dyDescent="0.3">
      <c r="A171" s="2" t="s">
        <v>406</v>
      </c>
      <c r="B171" s="3" t="s">
        <v>407</v>
      </c>
      <c r="C171" s="3" t="s">
        <v>25</v>
      </c>
      <c r="D171" s="3" t="s">
        <v>40</v>
      </c>
      <c r="E171" s="3" t="s">
        <v>33</v>
      </c>
      <c r="F171" s="2" t="s">
        <v>47</v>
      </c>
      <c r="G171" s="4">
        <v>45457</v>
      </c>
      <c r="H171" s="4">
        <v>45469</v>
      </c>
      <c r="I171" s="5">
        <v>645623</v>
      </c>
      <c r="J171" s="5">
        <v>464252</v>
      </c>
      <c r="K171" s="2" t="s">
        <v>35</v>
      </c>
      <c r="L171" s="3"/>
      <c r="M171" s="2" t="s">
        <v>78</v>
      </c>
      <c r="N171" s="2"/>
    </row>
    <row r="172" spans="1:14" ht="13.5" customHeight="1" x14ac:dyDescent="0.3">
      <c r="A172" s="2" t="s">
        <v>408</v>
      </c>
      <c r="B172" s="3" t="s">
        <v>409</v>
      </c>
      <c r="C172" s="3" t="s">
        <v>25</v>
      </c>
      <c r="D172" s="3" t="s">
        <v>56</v>
      </c>
      <c r="E172" s="3" t="s">
        <v>74</v>
      </c>
      <c r="F172" s="2" t="s">
        <v>47</v>
      </c>
      <c r="G172" s="4">
        <v>45497</v>
      </c>
      <c r="H172" s="4"/>
      <c r="I172" s="5">
        <v>64154</v>
      </c>
      <c r="J172" s="2"/>
      <c r="K172" s="2" t="s">
        <v>75</v>
      </c>
      <c r="L172" s="3"/>
      <c r="M172" s="2" t="s">
        <v>22</v>
      </c>
      <c r="N172" s="2"/>
    </row>
    <row r="173" spans="1:14" ht="13.5" customHeight="1" x14ac:dyDescent="0.3">
      <c r="A173" s="2" t="s">
        <v>410</v>
      </c>
      <c r="B173" s="3" t="s">
        <v>411</v>
      </c>
      <c r="C173" s="3" t="s">
        <v>70</v>
      </c>
      <c r="D173" s="3" t="s">
        <v>56</v>
      </c>
      <c r="E173" s="3" t="s">
        <v>18</v>
      </c>
      <c r="F173" s="2" t="s">
        <v>105</v>
      </c>
      <c r="G173" s="4">
        <v>45603</v>
      </c>
      <c r="H173" s="4">
        <v>45627</v>
      </c>
      <c r="I173" s="5">
        <v>414737</v>
      </c>
      <c r="J173" s="5">
        <v>142315</v>
      </c>
      <c r="K173" s="2" t="s">
        <v>35</v>
      </c>
      <c r="L173" s="3"/>
      <c r="M173" s="2" t="s">
        <v>63</v>
      </c>
      <c r="N173" s="2"/>
    </row>
    <row r="174" spans="1:14" ht="13.5" customHeight="1" x14ac:dyDescent="0.3">
      <c r="A174" s="2" t="s">
        <v>412</v>
      </c>
      <c r="B174" s="3" t="s">
        <v>413</v>
      </c>
      <c r="C174" s="3" t="s">
        <v>16</v>
      </c>
      <c r="D174" s="3" t="s">
        <v>17</v>
      </c>
      <c r="E174" s="3" t="s">
        <v>27</v>
      </c>
      <c r="F174" s="2" t="s">
        <v>28</v>
      </c>
      <c r="G174" s="4">
        <v>45537</v>
      </c>
      <c r="H174" s="4">
        <v>45541</v>
      </c>
      <c r="I174" s="5">
        <v>368717</v>
      </c>
      <c r="J174" s="5">
        <v>258036</v>
      </c>
      <c r="K174" s="2" t="s">
        <v>35</v>
      </c>
      <c r="L174" s="3"/>
      <c r="M174" s="2" t="s">
        <v>59</v>
      </c>
      <c r="N174" s="2"/>
    </row>
    <row r="175" spans="1:14" ht="13.5" customHeight="1" x14ac:dyDescent="0.3">
      <c r="A175" s="2" t="s">
        <v>414</v>
      </c>
      <c r="B175" s="3" t="s">
        <v>415</v>
      </c>
      <c r="C175" s="3" t="s">
        <v>70</v>
      </c>
      <c r="D175" s="3" t="s">
        <v>17</v>
      </c>
      <c r="E175" s="3" t="s">
        <v>41</v>
      </c>
      <c r="F175" s="2" t="s">
        <v>143</v>
      </c>
      <c r="G175" s="4">
        <v>45521</v>
      </c>
      <c r="H175" s="4"/>
      <c r="I175" s="5">
        <v>396928</v>
      </c>
      <c r="J175" s="2"/>
      <c r="K175" s="2" t="s">
        <v>75</v>
      </c>
      <c r="L175" s="3"/>
      <c r="M175" s="2" t="s">
        <v>44</v>
      </c>
      <c r="N175" s="2"/>
    </row>
    <row r="176" spans="1:14" ht="13.5" customHeight="1" x14ac:dyDescent="0.3">
      <c r="A176" s="2" t="s">
        <v>416</v>
      </c>
      <c r="B176" s="3" t="s">
        <v>417</v>
      </c>
      <c r="C176" s="3" t="s">
        <v>70</v>
      </c>
      <c r="D176" s="3" t="s">
        <v>26</v>
      </c>
      <c r="E176" s="3" t="s">
        <v>74</v>
      </c>
      <c r="F176" s="2" t="s">
        <v>47</v>
      </c>
      <c r="G176" s="4">
        <v>45450</v>
      </c>
      <c r="H176" s="4">
        <v>45460</v>
      </c>
      <c r="I176" s="5">
        <v>920572</v>
      </c>
      <c r="J176" s="5">
        <v>0</v>
      </c>
      <c r="K176" s="2" t="s">
        <v>20</v>
      </c>
      <c r="L176" s="3" t="s">
        <v>114</v>
      </c>
      <c r="M176" s="2" t="s">
        <v>44</v>
      </c>
      <c r="N176" s="2"/>
    </row>
    <row r="177" spans="1:14" ht="13.5" customHeight="1" x14ac:dyDescent="0.3">
      <c r="A177" s="2" t="s">
        <v>418</v>
      </c>
      <c r="B177" s="3" t="s">
        <v>419</v>
      </c>
      <c r="C177" s="3" t="s">
        <v>25</v>
      </c>
      <c r="D177" s="3" t="s">
        <v>40</v>
      </c>
      <c r="E177" s="3" t="s">
        <v>18</v>
      </c>
      <c r="F177" s="2" t="s">
        <v>19</v>
      </c>
      <c r="G177" s="4">
        <v>45652</v>
      </c>
      <c r="H177" s="4"/>
      <c r="I177" s="5">
        <v>655319</v>
      </c>
      <c r="J177" s="2"/>
      <c r="K177" s="2" t="s">
        <v>75</v>
      </c>
      <c r="L177" s="3"/>
      <c r="M177" s="2" t="s">
        <v>22</v>
      </c>
      <c r="N177" s="2"/>
    </row>
    <row r="178" spans="1:14" ht="13.5" customHeight="1" x14ac:dyDescent="0.3">
      <c r="A178" s="2" t="s">
        <v>420</v>
      </c>
      <c r="B178" s="3" t="s">
        <v>421</v>
      </c>
      <c r="C178" s="3" t="s">
        <v>25</v>
      </c>
      <c r="D178" s="3" t="s">
        <v>62</v>
      </c>
      <c r="E178" s="3" t="s">
        <v>33</v>
      </c>
      <c r="F178" s="2" t="s">
        <v>163</v>
      </c>
      <c r="G178" s="4">
        <v>45330</v>
      </c>
      <c r="H178" s="4">
        <v>45345</v>
      </c>
      <c r="I178" s="5">
        <v>522249</v>
      </c>
      <c r="J178" s="5">
        <v>522249</v>
      </c>
      <c r="K178" s="2" t="s">
        <v>43</v>
      </c>
      <c r="L178" s="3"/>
      <c r="M178" s="2" t="s">
        <v>88</v>
      </c>
      <c r="N178" s="2"/>
    </row>
    <row r="179" spans="1:14" ht="13.5" customHeight="1" x14ac:dyDescent="0.3">
      <c r="A179" s="2" t="s">
        <v>422</v>
      </c>
      <c r="B179" s="3" t="s">
        <v>423</v>
      </c>
      <c r="C179" s="3" t="s">
        <v>25</v>
      </c>
      <c r="D179" s="3" t="s">
        <v>26</v>
      </c>
      <c r="E179" s="3" t="s">
        <v>41</v>
      </c>
      <c r="F179" s="2" t="s">
        <v>143</v>
      </c>
      <c r="G179" s="4">
        <v>45347</v>
      </c>
      <c r="H179" s="4">
        <v>45359</v>
      </c>
      <c r="I179" s="5">
        <v>92686</v>
      </c>
      <c r="J179" s="5">
        <v>92686</v>
      </c>
      <c r="K179" s="2" t="s">
        <v>29</v>
      </c>
      <c r="L179" s="3"/>
      <c r="M179" s="2" t="s">
        <v>93</v>
      </c>
      <c r="N179" s="2"/>
    </row>
    <row r="180" spans="1:14" ht="13.5" customHeight="1" x14ac:dyDescent="0.3">
      <c r="A180" s="2" t="s">
        <v>424</v>
      </c>
      <c r="B180" s="3" t="s">
        <v>425</v>
      </c>
      <c r="C180" s="3" t="s">
        <v>70</v>
      </c>
      <c r="D180" s="3" t="s">
        <v>26</v>
      </c>
      <c r="E180" s="3" t="s">
        <v>41</v>
      </c>
      <c r="F180" s="2" t="s">
        <v>143</v>
      </c>
      <c r="G180" s="4">
        <v>45446</v>
      </c>
      <c r="H180" s="4">
        <v>45450</v>
      </c>
      <c r="I180" s="5">
        <v>421524</v>
      </c>
      <c r="J180" s="5">
        <v>421524</v>
      </c>
      <c r="K180" s="2" t="s">
        <v>43</v>
      </c>
      <c r="L180" s="3"/>
      <c r="M180" s="2" t="s">
        <v>22</v>
      </c>
      <c r="N180" s="2"/>
    </row>
    <row r="181" spans="1:14" ht="13.5" customHeight="1" x14ac:dyDescent="0.3">
      <c r="A181" s="2" t="s">
        <v>426</v>
      </c>
      <c r="B181" s="3" t="s">
        <v>427</v>
      </c>
      <c r="C181" s="3" t="s">
        <v>39</v>
      </c>
      <c r="D181" s="3" t="s">
        <v>56</v>
      </c>
      <c r="E181" s="3" t="s">
        <v>57</v>
      </c>
      <c r="F181" s="2" t="s">
        <v>113</v>
      </c>
      <c r="G181" s="4">
        <v>45354</v>
      </c>
      <c r="H181" s="4">
        <v>45362</v>
      </c>
      <c r="I181" s="5">
        <v>84070</v>
      </c>
      <c r="J181" s="5">
        <v>84070</v>
      </c>
      <c r="K181" s="2" t="s">
        <v>29</v>
      </c>
      <c r="L181" s="3"/>
      <c r="M181" s="2" t="s">
        <v>36</v>
      </c>
      <c r="N181" s="2"/>
    </row>
    <row r="182" spans="1:14" ht="13.5" customHeight="1" x14ac:dyDescent="0.3">
      <c r="A182" s="2" t="s">
        <v>428</v>
      </c>
      <c r="B182" s="3" t="s">
        <v>429</v>
      </c>
      <c r="C182" s="3" t="s">
        <v>16</v>
      </c>
      <c r="D182" s="3" t="s">
        <v>40</v>
      </c>
      <c r="E182" s="3" t="s">
        <v>33</v>
      </c>
      <c r="F182" s="2" t="s">
        <v>34</v>
      </c>
      <c r="G182" s="4">
        <v>45447</v>
      </c>
      <c r="H182" s="4"/>
      <c r="I182" s="5">
        <v>818349</v>
      </c>
      <c r="J182" s="2"/>
      <c r="K182" s="2" t="s">
        <v>75</v>
      </c>
      <c r="L182" s="3"/>
      <c r="M182" s="2" t="s">
        <v>36</v>
      </c>
      <c r="N182" s="2"/>
    </row>
    <row r="183" spans="1:14" ht="13.5" customHeight="1" x14ac:dyDescent="0.3">
      <c r="A183" s="2" t="s">
        <v>430</v>
      </c>
      <c r="B183" s="3" t="s">
        <v>431</v>
      </c>
      <c r="C183" s="3" t="s">
        <v>25</v>
      </c>
      <c r="D183" s="3" t="s">
        <v>40</v>
      </c>
      <c r="E183" s="3" t="s">
        <v>74</v>
      </c>
      <c r="F183" s="2" t="s">
        <v>34</v>
      </c>
      <c r="G183" s="4">
        <v>45649</v>
      </c>
      <c r="H183" s="4"/>
      <c r="I183" s="5">
        <v>93831</v>
      </c>
      <c r="J183" s="2"/>
      <c r="K183" s="2" t="s">
        <v>75</v>
      </c>
      <c r="L183" s="3"/>
      <c r="M183" s="2" t="s">
        <v>117</v>
      </c>
      <c r="N183" s="2"/>
    </row>
    <row r="184" spans="1:14" ht="13.5" customHeight="1" x14ac:dyDescent="0.3">
      <c r="A184" s="2" t="s">
        <v>432</v>
      </c>
      <c r="B184" s="3" t="s">
        <v>433</v>
      </c>
      <c r="C184" s="3" t="s">
        <v>16</v>
      </c>
      <c r="D184" s="3" t="s">
        <v>26</v>
      </c>
      <c r="E184" s="3" t="s">
        <v>50</v>
      </c>
      <c r="F184" s="2" t="s">
        <v>51</v>
      </c>
      <c r="G184" s="4">
        <v>45439</v>
      </c>
      <c r="H184" s="4">
        <v>45441</v>
      </c>
      <c r="I184" s="5">
        <v>84756</v>
      </c>
      <c r="J184" s="5">
        <v>0</v>
      </c>
      <c r="K184" s="2" t="s">
        <v>20</v>
      </c>
      <c r="L184" s="3" t="s">
        <v>52</v>
      </c>
      <c r="M184" s="2" t="s">
        <v>88</v>
      </c>
      <c r="N184" s="2"/>
    </row>
    <row r="185" spans="1:14" ht="13.5" customHeight="1" x14ac:dyDescent="0.3">
      <c r="A185" s="2" t="s">
        <v>434</v>
      </c>
      <c r="B185" s="3" t="s">
        <v>435</v>
      </c>
      <c r="C185" s="3" t="s">
        <v>25</v>
      </c>
      <c r="D185" s="3" t="s">
        <v>56</v>
      </c>
      <c r="E185" s="3" t="s">
        <v>27</v>
      </c>
      <c r="F185" s="2" t="s">
        <v>28</v>
      </c>
      <c r="G185" s="4">
        <v>45324</v>
      </c>
      <c r="H185" s="4">
        <v>45344</v>
      </c>
      <c r="I185" s="5">
        <v>538110</v>
      </c>
      <c r="J185" s="5">
        <v>538110</v>
      </c>
      <c r="K185" s="2" t="s">
        <v>43</v>
      </c>
      <c r="L185" s="3"/>
      <c r="M185" s="2" t="s">
        <v>44</v>
      </c>
      <c r="N185" s="2"/>
    </row>
    <row r="186" spans="1:14" ht="13.5" customHeight="1" x14ac:dyDescent="0.3">
      <c r="A186" s="2" t="s">
        <v>436</v>
      </c>
      <c r="B186" s="3" t="s">
        <v>437</v>
      </c>
      <c r="C186" s="3" t="s">
        <v>70</v>
      </c>
      <c r="D186" s="3" t="s">
        <v>26</v>
      </c>
      <c r="E186" s="3" t="s">
        <v>50</v>
      </c>
      <c r="F186" s="2" t="s">
        <v>51</v>
      </c>
      <c r="G186" s="4">
        <v>45537</v>
      </c>
      <c r="H186" s="4"/>
      <c r="I186" s="5">
        <v>177280</v>
      </c>
      <c r="J186" s="2"/>
      <c r="K186" s="2" t="s">
        <v>75</v>
      </c>
      <c r="L186" s="3"/>
      <c r="M186" s="2" t="s">
        <v>36</v>
      </c>
      <c r="N186" s="2"/>
    </row>
    <row r="187" spans="1:14" ht="13.5" customHeight="1" x14ac:dyDescent="0.3">
      <c r="A187" s="2" t="s">
        <v>438</v>
      </c>
      <c r="B187" s="3" t="s">
        <v>439</v>
      </c>
      <c r="C187" s="3" t="s">
        <v>70</v>
      </c>
      <c r="D187" s="3" t="s">
        <v>56</v>
      </c>
      <c r="E187" s="3" t="s">
        <v>50</v>
      </c>
      <c r="F187" s="2" t="s">
        <v>51</v>
      </c>
      <c r="G187" s="4">
        <v>45315</v>
      </c>
      <c r="H187" s="4">
        <v>45319</v>
      </c>
      <c r="I187" s="5">
        <v>681985</v>
      </c>
      <c r="J187" s="5">
        <v>0</v>
      </c>
      <c r="K187" s="2" t="s">
        <v>20</v>
      </c>
      <c r="L187" s="3" t="s">
        <v>71</v>
      </c>
      <c r="M187" s="2" t="s">
        <v>53</v>
      </c>
      <c r="N187" s="2"/>
    </row>
    <row r="188" spans="1:14" ht="13.5" customHeight="1" x14ac:dyDescent="0.3">
      <c r="A188" s="2" t="s">
        <v>440</v>
      </c>
      <c r="B188" s="3" t="s">
        <v>441</v>
      </c>
      <c r="C188" s="3" t="s">
        <v>16</v>
      </c>
      <c r="D188" s="3" t="s">
        <v>56</v>
      </c>
      <c r="E188" s="3" t="s">
        <v>50</v>
      </c>
      <c r="F188" s="2" t="s">
        <v>51</v>
      </c>
      <c r="G188" s="4">
        <v>45600</v>
      </c>
      <c r="H188" s="4"/>
      <c r="I188" s="5">
        <v>253737</v>
      </c>
      <c r="J188" s="2"/>
      <c r="K188" s="2" t="s">
        <v>75</v>
      </c>
      <c r="L188" s="3"/>
      <c r="M188" s="2" t="s">
        <v>144</v>
      </c>
      <c r="N188" s="2"/>
    </row>
    <row r="189" spans="1:14" ht="13.5" customHeight="1" x14ac:dyDescent="0.3">
      <c r="A189" s="2" t="s">
        <v>442</v>
      </c>
      <c r="B189" s="3" t="s">
        <v>443</v>
      </c>
      <c r="C189" s="3" t="s">
        <v>16</v>
      </c>
      <c r="D189" s="3" t="s">
        <v>26</v>
      </c>
      <c r="E189" s="3" t="s">
        <v>50</v>
      </c>
      <c r="F189" s="2" t="s">
        <v>51</v>
      </c>
      <c r="G189" s="4">
        <v>45529</v>
      </c>
      <c r="H189" s="4">
        <v>45547</v>
      </c>
      <c r="I189" s="5">
        <v>945073</v>
      </c>
      <c r="J189" s="5">
        <v>945073</v>
      </c>
      <c r="K189" s="2" t="s">
        <v>67</v>
      </c>
      <c r="L189" s="3"/>
      <c r="M189" s="2" t="s">
        <v>59</v>
      </c>
      <c r="N189" s="2"/>
    </row>
    <row r="190" spans="1:14" ht="13.5" customHeight="1" x14ac:dyDescent="0.3">
      <c r="A190" s="2" t="s">
        <v>444</v>
      </c>
      <c r="B190" s="3" t="s">
        <v>445</v>
      </c>
      <c r="C190" s="3" t="s">
        <v>39</v>
      </c>
      <c r="D190" s="3" t="s">
        <v>62</v>
      </c>
      <c r="E190" s="3" t="s">
        <v>41</v>
      </c>
      <c r="F190" s="2" t="s">
        <v>42</v>
      </c>
      <c r="G190" s="4">
        <v>45504</v>
      </c>
      <c r="H190" s="4">
        <v>45515</v>
      </c>
      <c r="I190" s="5">
        <v>68274</v>
      </c>
      <c r="J190" s="5">
        <v>48895</v>
      </c>
      <c r="K190" s="2" t="s">
        <v>35</v>
      </c>
      <c r="L190" s="3"/>
      <c r="M190" s="2" t="s">
        <v>30</v>
      </c>
      <c r="N190" s="2"/>
    </row>
    <row r="191" spans="1:14" ht="13.5" customHeight="1" x14ac:dyDescent="0.3">
      <c r="A191" s="2" t="s">
        <v>446</v>
      </c>
      <c r="B191" s="3" t="s">
        <v>447</v>
      </c>
      <c r="C191" s="3" t="s">
        <v>16</v>
      </c>
      <c r="D191" s="3" t="s">
        <v>40</v>
      </c>
      <c r="E191" s="3" t="s">
        <v>27</v>
      </c>
      <c r="F191" s="2" t="s">
        <v>120</v>
      </c>
      <c r="G191" s="4">
        <v>45529</v>
      </c>
      <c r="H191" s="4">
        <v>45542</v>
      </c>
      <c r="I191" s="2"/>
      <c r="J191" s="5">
        <v>641034</v>
      </c>
      <c r="K191" s="2" t="s">
        <v>29</v>
      </c>
      <c r="L191" s="3"/>
      <c r="M191" s="2" t="s">
        <v>36</v>
      </c>
      <c r="N191" s="2"/>
    </row>
    <row r="192" spans="1:14" ht="13.5" customHeight="1" x14ac:dyDescent="0.3">
      <c r="A192" s="2" t="s">
        <v>448</v>
      </c>
      <c r="B192" s="3" t="s">
        <v>449</v>
      </c>
      <c r="C192" s="3" t="s">
        <v>16</v>
      </c>
      <c r="D192" s="3" t="s">
        <v>40</v>
      </c>
      <c r="E192" s="3" t="s">
        <v>41</v>
      </c>
      <c r="F192" s="2" t="s">
        <v>143</v>
      </c>
      <c r="G192" s="4">
        <v>45568</v>
      </c>
      <c r="H192" s="4">
        <v>45569</v>
      </c>
      <c r="I192" s="5">
        <v>778272</v>
      </c>
      <c r="J192" s="5">
        <v>0</v>
      </c>
      <c r="K192" s="2" t="s">
        <v>20</v>
      </c>
      <c r="L192" s="3" t="s">
        <v>21</v>
      </c>
      <c r="M192" s="2" t="s">
        <v>121</v>
      </c>
      <c r="N192" s="2"/>
    </row>
    <row r="193" spans="1:14" ht="13.5" customHeight="1" x14ac:dyDescent="0.3">
      <c r="A193" s="2" t="s">
        <v>450</v>
      </c>
      <c r="B193" s="3" t="s">
        <v>451</v>
      </c>
      <c r="C193" s="3" t="s">
        <v>70</v>
      </c>
      <c r="D193" s="3" t="s">
        <v>40</v>
      </c>
      <c r="E193" s="3" t="s">
        <v>41</v>
      </c>
      <c r="F193" s="2" t="s">
        <v>42</v>
      </c>
      <c r="G193" s="4">
        <v>45555</v>
      </c>
      <c r="H193" s="4">
        <v>45562</v>
      </c>
      <c r="I193" s="5">
        <v>305512</v>
      </c>
      <c r="J193" s="5">
        <v>305512</v>
      </c>
      <c r="K193" s="2" t="s">
        <v>67</v>
      </c>
      <c r="L193" s="3"/>
      <c r="M193" s="2" t="s">
        <v>36</v>
      </c>
      <c r="N193" s="2"/>
    </row>
    <row r="194" spans="1:14" ht="13.5" customHeight="1" x14ac:dyDescent="0.3">
      <c r="A194" s="2" t="s">
        <v>452</v>
      </c>
      <c r="B194" s="3" t="s">
        <v>453</v>
      </c>
      <c r="C194" s="3" t="s">
        <v>25</v>
      </c>
      <c r="D194" s="3" t="s">
        <v>17</v>
      </c>
      <c r="E194" s="3" t="s">
        <v>57</v>
      </c>
      <c r="F194" s="2" t="s">
        <v>113</v>
      </c>
      <c r="G194" s="4">
        <v>45614</v>
      </c>
      <c r="H194" s="4">
        <v>45632</v>
      </c>
      <c r="I194" s="5">
        <v>141043</v>
      </c>
      <c r="J194" s="5">
        <v>141043</v>
      </c>
      <c r="K194" s="2" t="s">
        <v>29</v>
      </c>
      <c r="L194" s="3"/>
      <c r="M194" s="2" t="s">
        <v>44</v>
      </c>
      <c r="N194" s="2"/>
    </row>
    <row r="195" spans="1:14" ht="13.5" customHeight="1" x14ac:dyDescent="0.3">
      <c r="A195" s="2" t="s">
        <v>454</v>
      </c>
      <c r="B195" s="3" t="s">
        <v>455</v>
      </c>
      <c r="C195" s="3" t="s">
        <v>25</v>
      </c>
      <c r="D195" s="3" t="s">
        <v>17</v>
      </c>
      <c r="E195" s="3" t="s">
        <v>57</v>
      </c>
      <c r="F195" s="2" t="s">
        <v>66</v>
      </c>
      <c r="G195" s="4">
        <v>45333</v>
      </c>
      <c r="H195" s="4">
        <v>45348</v>
      </c>
      <c r="I195" s="5">
        <v>438845</v>
      </c>
      <c r="J195" s="5">
        <v>438845</v>
      </c>
      <c r="K195" s="2" t="s">
        <v>43</v>
      </c>
      <c r="L195" s="3"/>
      <c r="M195" s="2" t="s">
        <v>22</v>
      </c>
      <c r="N195" s="2"/>
    </row>
    <row r="196" spans="1:14" ht="13.5" customHeight="1" x14ac:dyDescent="0.3">
      <c r="A196" s="2" t="s">
        <v>456</v>
      </c>
      <c r="B196" s="3" t="s">
        <v>457</v>
      </c>
      <c r="C196" s="3" t="s">
        <v>39</v>
      </c>
      <c r="D196" s="3" t="s">
        <v>26</v>
      </c>
      <c r="E196" s="3" t="s">
        <v>27</v>
      </c>
      <c r="F196" s="2" t="s">
        <v>120</v>
      </c>
      <c r="G196" s="4">
        <v>45374</v>
      </c>
      <c r="H196" s="4">
        <v>45378</v>
      </c>
      <c r="I196" s="5">
        <v>279254</v>
      </c>
      <c r="J196" s="5">
        <v>279254</v>
      </c>
      <c r="K196" s="2" t="s">
        <v>67</v>
      </c>
      <c r="L196" s="3"/>
      <c r="M196" s="2" t="s">
        <v>30</v>
      </c>
      <c r="N196" s="2"/>
    </row>
    <row r="197" spans="1:14" ht="13.5" customHeight="1" x14ac:dyDescent="0.3">
      <c r="A197" s="2" t="s">
        <v>458</v>
      </c>
      <c r="B197" s="3" t="s">
        <v>459</v>
      </c>
      <c r="C197" s="3" t="s">
        <v>25</v>
      </c>
      <c r="D197" s="3" t="s">
        <v>40</v>
      </c>
      <c r="E197" s="3" t="s">
        <v>27</v>
      </c>
      <c r="F197" s="2" t="s">
        <v>28</v>
      </c>
      <c r="G197" s="4">
        <v>45414</v>
      </c>
      <c r="H197" s="4"/>
      <c r="I197" s="5">
        <v>783813</v>
      </c>
      <c r="J197" s="2"/>
      <c r="K197" s="2" t="s">
        <v>75</v>
      </c>
      <c r="L197" s="3"/>
      <c r="M197" s="2" t="s">
        <v>36</v>
      </c>
      <c r="N197" s="2"/>
    </row>
    <row r="198" spans="1:14" ht="13.5" customHeight="1" x14ac:dyDescent="0.3">
      <c r="A198" s="2" t="s">
        <v>460</v>
      </c>
      <c r="B198" s="3" t="s">
        <v>461</v>
      </c>
      <c r="C198" s="3" t="s">
        <v>16</v>
      </c>
      <c r="D198" s="3" t="s">
        <v>56</v>
      </c>
      <c r="E198" s="3" t="s">
        <v>50</v>
      </c>
      <c r="F198" s="2" t="s">
        <v>81</v>
      </c>
      <c r="G198" s="4">
        <v>45596</v>
      </c>
      <c r="H198" s="4">
        <v>45603</v>
      </c>
      <c r="I198" s="2"/>
      <c r="J198" s="5">
        <v>64998</v>
      </c>
      <c r="K198" s="2" t="s">
        <v>29</v>
      </c>
      <c r="L198" s="3"/>
      <c r="M198" s="2" t="s">
        <v>132</v>
      </c>
      <c r="N198" s="2"/>
    </row>
    <row r="199" spans="1:14" ht="13.5" customHeight="1" x14ac:dyDescent="0.3">
      <c r="A199" s="2" t="s">
        <v>462</v>
      </c>
      <c r="B199" s="3" t="s">
        <v>463</v>
      </c>
      <c r="C199" s="3" t="s">
        <v>70</v>
      </c>
      <c r="D199" s="3" t="s">
        <v>26</v>
      </c>
      <c r="E199" s="3" t="s">
        <v>57</v>
      </c>
      <c r="F199" s="2" t="s">
        <v>113</v>
      </c>
      <c r="G199" s="4">
        <v>45631</v>
      </c>
      <c r="H199" s="4">
        <v>45633</v>
      </c>
      <c r="I199" s="5">
        <v>390134</v>
      </c>
      <c r="J199" s="5">
        <v>0</v>
      </c>
      <c r="K199" s="2" t="s">
        <v>20</v>
      </c>
      <c r="L199" s="3" t="s">
        <v>52</v>
      </c>
      <c r="M199" s="2" t="s">
        <v>53</v>
      </c>
      <c r="N199" s="2"/>
    </row>
    <row r="200" spans="1:14" ht="13.5" customHeight="1" x14ac:dyDescent="0.3">
      <c r="A200" s="2" t="s">
        <v>464</v>
      </c>
      <c r="B200" s="3" t="s">
        <v>465</v>
      </c>
      <c r="C200" s="3" t="s">
        <v>70</v>
      </c>
      <c r="D200" s="3" t="s">
        <v>40</v>
      </c>
      <c r="E200" s="3" t="s">
        <v>57</v>
      </c>
      <c r="F200" s="2" t="s">
        <v>58</v>
      </c>
      <c r="G200" s="4">
        <v>45559</v>
      </c>
      <c r="H200" s="4">
        <v>45584</v>
      </c>
      <c r="I200" s="5">
        <v>122179</v>
      </c>
      <c r="J200" s="5">
        <v>94168</v>
      </c>
      <c r="K200" s="2" t="s">
        <v>35</v>
      </c>
      <c r="L200" s="3"/>
      <c r="M200" s="2" t="s">
        <v>63</v>
      </c>
      <c r="N200" s="2"/>
    </row>
    <row r="201" spans="1:14" ht="13.5" customHeight="1" x14ac:dyDescent="0.3">
      <c r="A201" s="2" t="s">
        <v>466</v>
      </c>
      <c r="B201" s="3" t="s">
        <v>467</v>
      </c>
      <c r="C201" s="3" t="s">
        <v>70</v>
      </c>
      <c r="D201" s="3" t="s">
        <v>62</v>
      </c>
      <c r="E201" s="3" t="s">
        <v>50</v>
      </c>
      <c r="F201" s="2" t="s">
        <v>51</v>
      </c>
      <c r="G201" s="4">
        <v>45596</v>
      </c>
      <c r="H201" s="4">
        <v>45606</v>
      </c>
      <c r="I201" s="5">
        <v>473310</v>
      </c>
      <c r="J201" s="5">
        <v>0</v>
      </c>
      <c r="K201" s="2" t="s">
        <v>20</v>
      </c>
      <c r="L201" s="3" t="s">
        <v>52</v>
      </c>
      <c r="M201" s="2" t="s">
        <v>36</v>
      </c>
      <c r="N201" s="2"/>
    </row>
    <row r="202" spans="1:14" ht="13.5" customHeight="1" x14ac:dyDescent="0.3">
      <c r="A202" s="2" t="s">
        <v>468</v>
      </c>
      <c r="B202" s="3" t="s">
        <v>469</v>
      </c>
      <c r="C202" s="3" t="s">
        <v>16</v>
      </c>
      <c r="D202" s="3" t="s">
        <v>56</v>
      </c>
      <c r="E202" s="3" t="s">
        <v>33</v>
      </c>
      <c r="F202" s="2" t="s">
        <v>163</v>
      </c>
      <c r="G202" s="4">
        <v>45640</v>
      </c>
      <c r="H202" s="4">
        <v>45645</v>
      </c>
      <c r="I202" s="5">
        <v>699428</v>
      </c>
      <c r="J202" s="5">
        <v>699428</v>
      </c>
      <c r="K202" s="2" t="s">
        <v>43</v>
      </c>
      <c r="L202" s="3"/>
      <c r="M202" s="2" t="s">
        <v>78</v>
      </c>
      <c r="N202" s="2"/>
    </row>
    <row r="203" spans="1:14" ht="13.5" customHeight="1" x14ac:dyDescent="0.3">
      <c r="A203" s="2" t="s">
        <v>470</v>
      </c>
      <c r="B203" s="3" t="s">
        <v>471</v>
      </c>
      <c r="C203" s="3" t="s">
        <v>25</v>
      </c>
      <c r="D203" s="3" t="s">
        <v>17</v>
      </c>
      <c r="E203" s="3" t="s">
        <v>57</v>
      </c>
      <c r="F203" s="2" t="s">
        <v>66</v>
      </c>
      <c r="G203" s="4">
        <v>45535</v>
      </c>
      <c r="H203" s="4">
        <v>45556</v>
      </c>
      <c r="I203" s="5">
        <v>119444</v>
      </c>
      <c r="J203" s="5">
        <v>119444</v>
      </c>
      <c r="K203" s="2" t="s">
        <v>29</v>
      </c>
      <c r="L203" s="3"/>
      <c r="M203" s="2" t="s">
        <v>121</v>
      </c>
      <c r="N203" s="2"/>
    </row>
    <row r="204" spans="1:14" ht="13.5" customHeight="1" x14ac:dyDescent="0.3">
      <c r="A204" s="2" t="s">
        <v>472</v>
      </c>
      <c r="B204" s="3" t="s">
        <v>473</v>
      </c>
      <c r="C204" s="3" t="s">
        <v>16</v>
      </c>
      <c r="D204" s="3" t="s">
        <v>56</v>
      </c>
      <c r="E204" s="3" t="s">
        <v>50</v>
      </c>
      <c r="F204" s="2" t="s">
        <v>51</v>
      </c>
      <c r="G204" s="4">
        <v>45318</v>
      </c>
      <c r="H204" s="4">
        <v>45319</v>
      </c>
      <c r="I204" s="5">
        <v>19954</v>
      </c>
      <c r="J204" s="5">
        <v>0</v>
      </c>
      <c r="K204" s="2" t="s">
        <v>20</v>
      </c>
      <c r="L204" s="3" t="s">
        <v>71</v>
      </c>
      <c r="M204" s="2" t="s">
        <v>30</v>
      </c>
      <c r="N204" s="2"/>
    </row>
    <row r="205" spans="1:14" ht="13.5" customHeight="1" x14ac:dyDescent="0.3">
      <c r="A205" s="2" t="s">
        <v>474</v>
      </c>
      <c r="B205" s="3" t="s">
        <v>475</v>
      </c>
      <c r="C205" s="3" t="s">
        <v>70</v>
      </c>
      <c r="D205" s="3" t="s">
        <v>40</v>
      </c>
      <c r="E205" s="3" t="s">
        <v>18</v>
      </c>
      <c r="F205" s="2" t="s">
        <v>105</v>
      </c>
      <c r="G205" s="4">
        <v>45598</v>
      </c>
      <c r="H205" s="4">
        <v>45612</v>
      </c>
      <c r="I205" s="5">
        <v>221324</v>
      </c>
      <c r="J205" s="5">
        <v>0</v>
      </c>
      <c r="K205" s="2" t="s">
        <v>20</v>
      </c>
      <c r="L205" s="3" t="s">
        <v>71</v>
      </c>
      <c r="M205" s="2" t="s">
        <v>78</v>
      </c>
      <c r="N205" s="2"/>
    </row>
    <row r="206" spans="1:14" ht="13.5" customHeight="1" x14ac:dyDescent="0.3">
      <c r="A206" s="2" t="s">
        <v>476</v>
      </c>
      <c r="B206" s="3" t="s">
        <v>477</v>
      </c>
      <c r="C206" s="3" t="s">
        <v>16</v>
      </c>
      <c r="D206" s="3" t="s">
        <v>56</v>
      </c>
      <c r="E206" s="3" t="s">
        <v>33</v>
      </c>
      <c r="F206" s="2" t="s">
        <v>163</v>
      </c>
      <c r="G206" s="4">
        <v>45357</v>
      </c>
      <c r="H206" s="4">
        <v>45372</v>
      </c>
      <c r="I206" s="5">
        <v>104168</v>
      </c>
      <c r="J206" s="5">
        <v>104168</v>
      </c>
      <c r="K206" s="2" t="s">
        <v>29</v>
      </c>
      <c r="L206" s="3"/>
      <c r="M206" s="2" t="s">
        <v>30</v>
      </c>
      <c r="N206" s="2"/>
    </row>
    <row r="207" spans="1:14" ht="13.5" customHeight="1" x14ac:dyDescent="0.3">
      <c r="A207" s="2" t="s">
        <v>478</v>
      </c>
      <c r="B207" s="3" t="s">
        <v>479</v>
      </c>
      <c r="C207" s="3" t="s">
        <v>70</v>
      </c>
      <c r="D207" s="3" t="s">
        <v>40</v>
      </c>
      <c r="E207" s="3" t="s">
        <v>41</v>
      </c>
      <c r="F207" s="2" t="s">
        <v>143</v>
      </c>
      <c r="G207" s="4">
        <v>45367</v>
      </c>
      <c r="H207" s="4"/>
      <c r="I207" s="5">
        <v>776913</v>
      </c>
      <c r="J207" s="2"/>
      <c r="K207" s="2" t="s">
        <v>75</v>
      </c>
      <c r="L207" s="3"/>
      <c r="M207" s="2" t="s">
        <v>144</v>
      </c>
      <c r="N207" s="2"/>
    </row>
    <row r="208" spans="1:14" ht="13.5" customHeight="1" x14ac:dyDescent="0.3">
      <c r="A208" s="2" t="s">
        <v>480</v>
      </c>
      <c r="B208" s="3" t="s">
        <v>481</v>
      </c>
      <c r="C208" s="3" t="s">
        <v>16</v>
      </c>
      <c r="D208" s="3" t="s">
        <v>56</v>
      </c>
      <c r="E208" s="3" t="s">
        <v>50</v>
      </c>
      <c r="F208" s="2" t="s">
        <v>81</v>
      </c>
      <c r="G208" s="4">
        <v>45435</v>
      </c>
      <c r="H208" s="4">
        <v>45450</v>
      </c>
      <c r="I208" s="5">
        <v>452570</v>
      </c>
      <c r="J208" s="5">
        <v>452570</v>
      </c>
      <c r="K208" s="2" t="s">
        <v>29</v>
      </c>
      <c r="L208" s="3"/>
      <c r="M208" s="2" t="s">
        <v>44</v>
      </c>
      <c r="N208" s="2"/>
    </row>
    <row r="209" spans="1:14" ht="13.5" customHeight="1" x14ac:dyDescent="0.3">
      <c r="A209" s="2" t="s">
        <v>482</v>
      </c>
      <c r="B209" s="3" t="s">
        <v>483</v>
      </c>
      <c r="C209" s="3" t="s">
        <v>70</v>
      </c>
      <c r="D209" s="3" t="s">
        <v>17</v>
      </c>
      <c r="E209" s="3" t="s">
        <v>18</v>
      </c>
      <c r="F209" s="2" t="s">
        <v>105</v>
      </c>
      <c r="G209" s="4">
        <v>45652</v>
      </c>
      <c r="H209" s="4">
        <v>45668</v>
      </c>
      <c r="I209" s="5">
        <v>949312</v>
      </c>
      <c r="J209" s="5">
        <v>949312</v>
      </c>
      <c r="K209" s="2" t="s">
        <v>29</v>
      </c>
      <c r="L209" s="3"/>
      <c r="M209" s="2" t="s">
        <v>22</v>
      </c>
      <c r="N209" s="2"/>
    </row>
    <row r="210" spans="1:14" ht="13.5" customHeight="1" x14ac:dyDescent="0.3">
      <c r="A210" s="2" t="s">
        <v>484</v>
      </c>
      <c r="B210" s="3" t="s">
        <v>485</v>
      </c>
      <c r="C210" s="3" t="s">
        <v>39</v>
      </c>
      <c r="D210" s="3" t="s">
        <v>62</v>
      </c>
      <c r="E210" s="3" t="s">
        <v>33</v>
      </c>
      <c r="F210" s="2" t="s">
        <v>47</v>
      </c>
      <c r="G210" s="4">
        <v>45647</v>
      </c>
      <c r="H210" s="4">
        <v>45657</v>
      </c>
      <c r="I210" s="5">
        <v>284088</v>
      </c>
      <c r="J210" s="5">
        <v>186316</v>
      </c>
      <c r="K210" s="2" t="s">
        <v>35</v>
      </c>
      <c r="L210" s="3"/>
      <c r="M210" s="2" t="s">
        <v>30</v>
      </c>
      <c r="N210" s="2"/>
    </row>
    <row r="211" spans="1:14" ht="13.5" customHeight="1" x14ac:dyDescent="0.3">
      <c r="A211" s="2" t="s">
        <v>486</v>
      </c>
      <c r="B211" s="3" t="s">
        <v>487</v>
      </c>
      <c r="C211" s="3" t="s">
        <v>70</v>
      </c>
      <c r="D211" s="3" t="s">
        <v>62</v>
      </c>
      <c r="E211" s="3" t="s">
        <v>33</v>
      </c>
      <c r="F211" s="2" t="s">
        <v>34</v>
      </c>
      <c r="G211" s="4">
        <v>45315</v>
      </c>
      <c r="H211" s="4">
        <v>45328</v>
      </c>
      <c r="I211" s="5">
        <v>354508</v>
      </c>
      <c r="J211" s="5">
        <v>0</v>
      </c>
      <c r="K211" s="2" t="s">
        <v>20</v>
      </c>
      <c r="L211" s="3" t="s">
        <v>71</v>
      </c>
      <c r="M211" s="2" t="s">
        <v>121</v>
      </c>
      <c r="N211" s="2"/>
    </row>
    <row r="212" spans="1:14" ht="13.5" customHeight="1" x14ac:dyDescent="0.3">
      <c r="A212" s="2" t="s">
        <v>488</v>
      </c>
      <c r="B212" s="3" t="s">
        <v>489</v>
      </c>
      <c r="C212" s="3" t="s">
        <v>70</v>
      </c>
      <c r="D212" s="3" t="s">
        <v>26</v>
      </c>
      <c r="E212" s="3" t="s">
        <v>57</v>
      </c>
      <c r="F212" s="2" t="s">
        <v>66</v>
      </c>
      <c r="G212" s="4">
        <v>45420</v>
      </c>
      <c r="H212" s="4">
        <v>45424</v>
      </c>
      <c r="I212" s="5">
        <v>740516</v>
      </c>
      <c r="J212" s="5">
        <v>740516</v>
      </c>
      <c r="K212" s="2" t="s">
        <v>29</v>
      </c>
      <c r="L212" s="3"/>
      <c r="M212" s="2" t="s">
        <v>144</v>
      </c>
      <c r="N212" s="2"/>
    </row>
    <row r="213" spans="1:14" ht="13.5" customHeight="1" x14ac:dyDescent="0.3">
      <c r="A213" s="2" t="s">
        <v>490</v>
      </c>
      <c r="B213" s="3" t="s">
        <v>491</v>
      </c>
      <c r="C213" s="3" t="s">
        <v>25</v>
      </c>
      <c r="D213" s="3" t="s">
        <v>62</v>
      </c>
      <c r="E213" s="3" t="s">
        <v>41</v>
      </c>
      <c r="F213" s="2" t="s">
        <v>143</v>
      </c>
      <c r="G213" s="4">
        <v>45609</v>
      </c>
      <c r="H213" s="4">
        <v>45615</v>
      </c>
      <c r="I213" s="5">
        <v>54115</v>
      </c>
      <c r="J213" s="5">
        <v>54115</v>
      </c>
      <c r="K213" s="2" t="s">
        <v>67</v>
      </c>
      <c r="L213" s="3"/>
      <c r="M213" s="2" t="s">
        <v>63</v>
      </c>
      <c r="N213" s="2"/>
    </row>
    <row r="214" spans="1:14" ht="13.5" customHeight="1" x14ac:dyDescent="0.3">
      <c r="A214" s="2" t="s">
        <v>492</v>
      </c>
      <c r="B214" s="3" t="s">
        <v>493</v>
      </c>
      <c r="C214" s="3" t="s">
        <v>25</v>
      </c>
      <c r="D214" s="3" t="s">
        <v>17</v>
      </c>
      <c r="E214" s="3" t="s">
        <v>74</v>
      </c>
      <c r="F214" s="2" t="s">
        <v>34</v>
      </c>
      <c r="G214" s="4">
        <v>45437</v>
      </c>
      <c r="H214" s="4">
        <v>45455</v>
      </c>
      <c r="I214" s="5">
        <v>271792</v>
      </c>
      <c r="J214" s="5">
        <v>271792</v>
      </c>
      <c r="K214" s="2" t="s">
        <v>29</v>
      </c>
      <c r="L214" s="3"/>
      <c r="M214" s="2" t="s">
        <v>144</v>
      </c>
      <c r="N214" s="2"/>
    </row>
    <row r="215" spans="1:14" ht="13.5" customHeight="1" x14ac:dyDescent="0.3">
      <c r="A215" s="2" t="s">
        <v>494</v>
      </c>
      <c r="B215" s="3" t="s">
        <v>495</v>
      </c>
      <c r="C215" s="3" t="s">
        <v>25</v>
      </c>
      <c r="D215" s="3" t="s">
        <v>26</v>
      </c>
      <c r="E215" s="3" t="s">
        <v>57</v>
      </c>
      <c r="F215" s="2" t="s">
        <v>66</v>
      </c>
      <c r="G215" s="4">
        <v>45570</v>
      </c>
      <c r="H215" s="4">
        <v>45592</v>
      </c>
      <c r="I215" s="5">
        <v>802970</v>
      </c>
      <c r="J215" s="5">
        <v>452919</v>
      </c>
      <c r="K215" s="2" t="s">
        <v>35</v>
      </c>
      <c r="L215" s="3"/>
      <c r="M215" s="2" t="s">
        <v>44</v>
      </c>
      <c r="N215" s="2"/>
    </row>
    <row r="216" spans="1:14" ht="13.5" customHeight="1" x14ac:dyDescent="0.3">
      <c r="A216" s="2" t="s">
        <v>496</v>
      </c>
      <c r="B216" s="3" t="s">
        <v>497</v>
      </c>
      <c r="C216" s="3" t="s">
        <v>70</v>
      </c>
      <c r="D216" s="3" t="s">
        <v>56</v>
      </c>
      <c r="E216" s="3" t="s">
        <v>27</v>
      </c>
      <c r="F216" s="2" t="s">
        <v>28</v>
      </c>
      <c r="G216" s="4">
        <v>45441</v>
      </c>
      <c r="H216" s="4">
        <v>45459</v>
      </c>
      <c r="I216" s="2"/>
      <c r="J216" s="5">
        <v>423936</v>
      </c>
      <c r="K216" s="2" t="s">
        <v>35</v>
      </c>
      <c r="L216" s="3"/>
      <c r="M216" s="2" t="s">
        <v>88</v>
      </c>
      <c r="N216" s="2"/>
    </row>
    <row r="217" spans="1:14" ht="13.5" customHeight="1" x14ac:dyDescent="0.3">
      <c r="A217" s="2" t="s">
        <v>498</v>
      </c>
      <c r="B217" s="3" t="s">
        <v>499</v>
      </c>
      <c r="C217" s="3" t="s">
        <v>25</v>
      </c>
      <c r="D217" s="3" t="s">
        <v>26</v>
      </c>
      <c r="E217" s="3" t="s">
        <v>74</v>
      </c>
      <c r="F217" s="2" t="s">
        <v>47</v>
      </c>
      <c r="G217" s="4">
        <v>45498</v>
      </c>
      <c r="H217" s="4">
        <v>45515</v>
      </c>
      <c r="I217" s="5">
        <v>923369</v>
      </c>
      <c r="J217" s="5">
        <v>923369</v>
      </c>
      <c r="K217" s="2" t="s">
        <v>29</v>
      </c>
      <c r="L217" s="3"/>
      <c r="M217" s="2" t="s">
        <v>36</v>
      </c>
      <c r="N217" s="2"/>
    </row>
    <row r="218" spans="1:14" ht="13.5" customHeight="1" x14ac:dyDescent="0.3">
      <c r="A218" s="2" t="s">
        <v>500</v>
      </c>
      <c r="B218" s="3" t="s">
        <v>501</v>
      </c>
      <c r="C218" s="3" t="s">
        <v>39</v>
      </c>
      <c r="D218" s="3" t="s">
        <v>40</v>
      </c>
      <c r="E218" s="3" t="s">
        <v>50</v>
      </c>
      <c r="F218" s="2" t="s">
        <v>81</v>
      </c>
      <c r="G218" s="4">
        <v>45531</v>
      </c>
      <c r="H218" s="4">
        <v>45544</v>
      </c>
      <c r="I218" s="5">
        <v>212581</v>
      </c>
      <c r="J218" s="5">
        <v>0</v>
      </c>
      <c r="K218" s="2" t="s">
        <v>20</v>
      </c>
      <c r="L218" s="3" t="s">
        <v>71</v>
      </c>
      <c r="M218" s="2" t="s">
        <v>63</v>
      </c>
      <c r="N218" s="2"/>
    </row>
    <row r="219" spans="1:14" ht="13.5" customHeight="1" x14ac:dyDescent="0.3">
      <c r="A219" s="2" t="s">
        <v>502</v>
      </c>
      <c r="B219" s="3" t="s">
        <v>503</v>
      </c>
      <c r="C219" s="3" t="s">
        <v>25</v>
      </c>
      <c r="D219" s="3" t="s">
        <v>62</v>
      </c>
      <c r="E219" s="3" t="s">
        <v>57</v>
      </c>
      <c r="F219" s="2" t="s">
        <v>66</v>
      </c>
      <c r="G219" s="4">
        <v>45613</v>
      </c>
      <c r="H219" s="4">
        <v>45623</v>
      </c>
      <c r="I219" s="5">
        <v>72867</v>
      </c>
      <c r="J219" s="5">
        <v>0</v>
      </c>
      <c r="K219" s="2" t="s">
        <v>20</v>
      </c>
      <c r="L219" s="3" t="s">
        <v>52</v>
      </c>
      <c r="M219" s="2" t="s">
        <v>36</v>
      </c>
      <c r="N219" s="2"/>
    </row>
    <row r="220" spans="1:14" ht="13.5" customHeight="1" x14ac:dyDescent="0.3">
      <c r="A220" s="2" t="s">
        <v>504</v>
      </c>
      <c r="B220" s="3" t="s">
        <v>505</v>
      </c>
      <c r="C220" s="3" t="s">
        <v>25</v>
      </c>
      <c r="D220" s="3" t="s">
        <v>62</v>
      </c>
      <c r="E220" s="3" t="s">
        <v>57</v>
      </c>
      <c r="F220" s="2" t="s">
        <v>66</v>
      </c>
      <c r="G220" s="4">
        <v>45482</v>
      </c>
      <c r="H220" s="4">
        <v>45483</v>
      </c>
      <c r="I220" s="5">
        <v>907754</v>
      </c>
      <c r="J220" s="5">
        <v>0</v>
      </c>
      <c r="K220" s="2" t="s">
        <v>20</v>
      </c>
      <c r="L220" s="3" t="s">
        <v>114</v>
      </c>
      <c r="M220" s="2" t="s">
        <v>121</v>
      </c>
      <c r="N220" s="2"/>
    </row>
    <row r="221" spans="1:14" ht="13.5" customHeight="1" x14ac:dyDescent="0.3">
      <c r="A221" s="2" t="s">
        <v>506</v>
      </c>
      <c r="B221" s="3" t="s">
        <v>507</v>
      </c>
      <c r="C221" s="3" t="s">
        <v>25</v>
      </c>
      <c r="D221" s="3" t="s">
        <v>17</v>
      </c>
      <c r="E221" s="3" t="s">
        <v>33</v>
      </c>
      <c r="F221" s="2" t="s">
        <v>163</v>
      </c>
      <c r="G221" s="4">
        <v>45398</v>
      </c>
      <c r="H221" s="4">
        <v>45409</v>
      </c>
      <c r="I221" s="5">
        <v>163766</v>
      </c>
      <c r="J221" s="5">
        <v>0</v>
      </c>
      <c r="K221" s="2" t="s">
        <v>20</v>
      </c>
      <c r="L221" s="3" t="s">
        <v>114</v>
      </c>
      <c r="M221" s="2" t="s">
        <v>132</v>
      </c>
      <c r="N221" s="2"/>
    </row>
    <row r="222" spans="1:14" ht="13.5" customHeight="1" x14ac:dyDescent="0.3">
      <c r="A222" s="2" t="s">
        <v>508</v>
      </c>
      <c r="B222" s="3" t="s">
        <v>509</v>
      </c>
      <c r="C222" s="3" t="s">
        <v>16</v>
      </c>
      <c r="D222" s="3" t="s">
        <v>17</v>
      </c>
      <c r="E222" s="3" t="s">
        <v>57</v>
      </c>
      <c r="F222" s="2" t="s">
        <v>66</v>
      </c>
      <c r="G222" s="4">
        <v>45450</v>
      </c>
      <c r="H222" s="4">
        <v>45466</v>
      </c>
      <c r="I222" s="5">
        <v>58846</v>
      </c>
      <c r="J222" s="5">
        <v>58846</v>
      </c>
      <c r="K222" s="2" t="s">
        <v>43</v>
      </c>
      <c r="L222" s="3"/>
      <c r="M222" s="2" t="s">
        <v>96</v>
      </c>
      <c r="N222" s="2"/>
    </row>
    <row r="223" spans="1:14" ht="13.5" customHeight="1" x14ac:dyDescent="0.3">
      <c r="A223" s="2" t="s">
        <v>510</v>
      </c>
      <c r="B223" s="3" t="s">
        <v>511</v>
      </c>
      <c r="C223" s="3" t="s">
        <v>70</v>
      </c>
      <c r="D223" s="3" t="s">
        <v>26</v>
      </c>
      <c r="E223" s="3" t="s">
        <v>41</v>
      </c>
      <c r="F223" s="2" t="s">
        <v>143</v>
      </c>
      <c r="G223" s="4">
        <v>45566</v>
      </c>
      <c r="H223" s="4">
        <v>45578</v>
      </c>
      <c r="I223" s="5">
        <v>606312</v>
      </c>
      <c r="J223" s="5">
        <v>331838</v>
      </c>
      <c r="K223" s="2" t="s">
        <v>35</v>
      </c>
      <c r="L223" s="3"/>
      <c r="M223" s="2" t="s">
        <v>96</v>
      </c>
      <c r="N223" s="2"/>
    </row>
    <row r="224" spans="1:14" ht="13.5" customHeight="1" x14ac:dyDescent="0.3">
      <c r="A224" s="2" t="s">
        <v>512</v>
      </c>
      <c r="B224" s="3" t="s">
        <v>513</v>
      </c>
      <c r="C224" s="3" t="s">
        <v>70</v>
      </c>
      <c r="D224" s="3" t="s">
        <v>56</v>
      </c>
      <c r="E224" s="3" t="s">
        <v>33</v>
      </c>
      <c r="F224" s="2" t="s">
        <v>47</v>
      </c>
      <c r="G224" s="4">
        <v>45340</v>
      </c>
      <c r="H224" s="4">
        <v>45345</v>
      </c>
      <c r="I224" s="5">
        <v>55364</v>
      </c>
      <c r="J224" s="5">
        <v>0</v>
      </c>
      <c r="K224" s="2" t="s">
        <v>20</v>
      </c>
      <c r="L224" s="3" t="s">
        <v>71</v>
      </c>
      <c r="M224" s="2" t="s">
        <v>132</v>
      </c>
      <c r="N224" s="2"/>
    </row>
    <row r="225" spans="1:14" ht="13.5" customHeight="1" x14ac:dyDescent="0.3">
      <c r="A225" s="2" t="s">
        <v>514</v>
      </c>
      <c r="B225" s="3" t="s">
        <v>515</v>
      </c>
      <c r="C225" s="3" t="s">
        <v>25</v>
      </c>
      <c r="D225" s="3" t="s">
        <v>40</v>
      </c>
      <c r="E225" s="3" t="s">
        <v>33</v>
      </c>
      <c r="F225" s="2" t="s">
        <v>163</v>
      </c>
      <c r="G225" s="4">
        <v>45337</v>
      </c>
      <c r="H225" s="4">
        <v>45341</v>
      </c>
      <c r="I225" s="5">
        <v>184035</v>
      </c>
      <c r="J225" s="5">
        <v>184035</v>
      </c>
      <c r="K225" s="2" t="s">
        <v>67</v>
      </c>
      <c r="L225" s="3"/>
      <c r="M225" s="2" t="s">
        <v>117</v>
      </c>
      <c r="N225" s="2"/>
    </row>
    <row r="226" spans="1:14" ht="13.5" customHeight="1" x14ac:dyDescent="0.3">
      <c r="A226" s="2" t="s">
        <v>516</v>
      </c>
      <c r="B226" s="3" t="s">
        <v>517</v>
      </c>
      <c r="C226" s="3" t="s">
        <v>16</v>
      </c>
      <c r="D226" s="3" t="s">
        <v>17</v>
      </c>
      <c r="E226" s="3" t="s">
        <v>18</v>
      </c>
      <c r="F226" s="2" t="s">
        <v>19</v>
      </c>
      <c r="G226" s="4">
        <v>45620</v>
      </c>
      <c r="H226" s="4">
        <v>45638</v>
      </c>
      <c r="I226" s="2"/>
      <c r="J226" s="5">
        <v>386280</v>
      </c>
      <c r="K226" s="2" t="s">
        <v>35</v>
      </c>
      <c r="L226" s="3"/>
      <c r="M226" s="2" t="s">
        <v>144</v>
      </c>
      <c r="N226" s="2"/>
    </row>
    <row r="227" spans="1:14" ht="13.5" customHeight="1" x14ac:dyDescent="0.3">
      <c r="A227" s="2" t="s">
        <v>410</v>
      </c>
      <c r="B227" s="3" t="s">
        <v>411</v>
      </c>
      <c r="C227" s="3" t="s">
        <v>70</v>
      </c>
      <c r="D227" s="3" t="s">
        <v>56</v>
      </c>
      <c r="E227" s="3" t="s">
        <v>18</v>
      </c>
      <c r="F227" s="2" t="s">
        <v>105</v>
      </c>
      <c r="G227" s="4">
        <v>45603</v>
      </c>
      <c r="H227" s="4">
        <v>45627</v>
      </c>
      <c r="I227" s="5">
        <v>414737</v>
      </c>
      <c r="J227" s="5">
        <v>142315</v>
      </c>
      <c r="K227" s="2" t="s">
        <v>35</v>
      </c>
      <c r="L227" s="3"/>
      <c r="M227" s="2" t="s">
        <v>63</v>
      </c>
      <c r="N227" s="2"/>
    </row>
    <row r="228" spans="1:14" ht="13.5" customHeight="1" x14ac:dyDescent="0.3">
      <c r="A228" s="2" t="s">
        <v>518</v>
      </c>
      <c r="B228" s="3" t="s">
        <v>519</v>
      </c>
      <c r="C228" s="3" t="s">
        <v>16</v>
      </c>
      <c r="D228" s="3" t="s">
        <v>62</v>
      </c>
      <c r="E228" s="3" t="s">
        <v>74</v>
      </c>
      <c r="F228" s="2" t="s">
        <v>47</v>
      </c>
      <c r="G228" s="4">
        <v>45631</v>
      </c>
      <c r="H228" s="4">
        <v>45640</v>
      </c>
      <c r="I228" s="5">
        <v>678230</v>
      </c>
      <c r="J228" s="5">
        <v>0</v>
      </c>
      <c r="K228" s="2" t="s">
        <v>20</v>
      </c>
      <c r="L228" s="3" t="s">
        <v>71</v>
      </c>
      <c r="M228" s="2" t="s">
        <v>78</v>
      </c>
      <c r="N228" s="2"/>
    </row>
    <row r="229" spans="1:14" ht="13.5" customHeight="1" x14ac:dyDescent="0.3">
      <c r="A229" s="2" t="s">
        <v>520</v>
      </c>
      <c r="B229" s="3" t="s">
        <v>521</v>
      </c>
      <c r="C229" s="3" t="s">
        <v>39</v>
      </c>
      <c r="D229" s="3" t="s">
        <v>40</v>
      </c>
      <c r="E229" s="3" t="s">
        <v>18</v>
      </c>
      <c r="F229" s="2" t="s">
        <v>19</v>
      </c>
      <c r="G229" s="4">
        <v>45402</v>
      </c>
      <c r="H229" s="4">
        <v>45413</v>
      </c>
      <c r="I229" s="5">
        <v>403201</v>
      </c>
      <c r="J229" s="5">
        <v>0</v>
      </c>
      <c r="K229" s="2" t="s">
        <v>20</v>
      </c>
      <c r="L229" s="3" t="s">
        <v>52</v>
      </c>
      <c r="M229" s="2" t="s">
        <v>121</v>
      </c>
      <c r="N229" s="2"/>
    </row>
    <row r="230" spans="1:14" ht="13.5" customHeight="1" x14ac:dyDescent="0.3">
      <c r="A230" s="2" t="s">
        <v>522</v>
      </c>
      <c r="B230" s="3" t="s">
        <v>523</v>
      </c>
      <c r="C230" s="3" t="s">
        <v>16</v>
      </c>
      <c r="D230" s="3" t="s">
        <v>56</v>
      </c>
      <c r="E230" s="3" t="s">
        <v>50</v>
      </c>
      <c r="F230" s="2" t="s">
        <v>81</v>
      </c>
      <c r="G230" s="4">
        <v>45488</v>
      </c>
      <c r="H230" s="4">
        <v>45505</v>
      </c>
      <c r="I230" s="5">
        <v>317806</v>
      </c>
      <c r="J230" s="5">
        <v>317806</v>
      </c>
      <c r="K230" s="2" t="s">
        <v>43</v>
      </c>
      <c r="L230" s="3"/>
      <c r="M230" s="2" t="s">
        <v>59</v>
      </c>
      <c r="N230" s="2"/>
    </row>
    <row r="231" spans="1:14" ht="13.5" customHeight="1" x14ac:dyDescent="0.3">
      <c r="A231" s="2" t="s">
        <v>524</v>
      </c>
      <c r="B231" s="3" t="s">
        <v>525</v>
      </c>
      <c r="C231" s="3" t="s">
        <v>70</v>
      </c>
      <c r="D231" s="3" t="s">
        <v>56</v>
      </c>
      <c r="E231" s="3" t="s">
        <v>74</v>
      </c>
      <c r="F231" s="2" t="s">
        <v>47</v>
      </c>
      <c r="G231" s="4">
        <v>45553</v>
      </c>
      <c r="H231" s="4">
        <v>45570</v>
      </c>
      <c r="I231" s="5">
        <v>835918</v>
      </c>
      <c r="J231" s="5">
        <v>835918</v>
      </c>
      <c r="K231" s="2" t="s">
        <v>67</v>
      </c>
      <c r="L231" s="3"/>
      <c r="M231" s="2" t="s">
        <v>53</v>
      </c>
      <c r="N231" s="2"/>
    </row>
    <row r="232" spans="1:14" ht="13.5" customHeight="1" x14ac:dyDescent="0.3">
      <c r="A232" s="2" t="s">
        <v>526</v>
      </c>
      <c r="B232" s="3" t="s">
        <v>527</v>
      </c>
      <c r="C232" s="3" t="s">
        <v>70</v>
      </c>
      <c r="D232" s="3" t="s">
        <v>26</v>
      </c>
      <c r="E232" s="3" t="s">
        <v>41</v>
      </c>
      <c r="F232" s="2" t="s">
        <v>42</v>
      </c>
      <c r="G232" s="4">
        <v>45633</v>
      </c>
      <c r="H232" s="4">
        <v>45652</v>
      </c>
      <c r="I232" s="5">
        <v>335535</v>
      </c>
      <c r="J232" s="5">
        <v>335535</v>
      </c>
      <c r="K232" s="2" t="s">
        <v>67</v>
      </c>
      <c r="L232" s="3"/>
      <c r="M232" s="2" t="s">
        <v>78</v>
      </c>
      <c r="N232" s="2"/>
    </row>
    <row r="233" spans="1:14" ht="13.5" customHeight="1" x14ac:dyDescent="0.3">
      <c r="A233" s="2" t="s">
        <v>528</v>
      </c>
      <c r="B233" s="3" t="s">
        <v>529</v>
      </c>
      <c r="C233" s="3" t="s">
        <v>25</v>
      </c>
      <c r="D233" s="3" t="s">
        <v>17</v>
      </c>
      <c r="E233" s="3" t="s">
        <v>57</v>
      </c>
      <c r="F233" s="2" t="s">
        <v>66</v>
      </c>
      <c r="G233" s="4">
        <v>45489</v>
      </c>
      <c r="H233" s="4">
        <v>45504</v>
      </c>
      <c r="I233" s="5">
        <v>392632</v>
      </c>
      <c r="J233" s="5">
        <v>392632</v>
      </c>
      <c r="K233" s="2" t="s">
        <v>43</v>
      </c>
      <c r="L233" s="3"/>
      <c r="M233" s="2" t="s">
        <v>144</v>
      </c>
      <c r="N233" s="2"/>
    </row>
    <row r="234" spans="1:14" ht="13.5" customHeight="1" x14ac:dyDescent="0.3">
      <c r="A234" s="2" t="s">
        <v>530</v>
      </c>
      <c r="B234" s="3" t="s">
        <v>531</v>
      </c>
      <c r="C234" s="3" t="s">
        <v>70</v>
      </c>
      <c r="D234" s="3" t="s">
        <v>26</v>
      </c>
      <c r="E234" s="3" t="s">
        <v>18</v>
      </c>
      <c r="F234" s="2" t="s">
        <v>19</v>
      </c>
      <c r="G234" s="4">
        <v>45492</v>
      </c>
      <c r="H234" s="4">
        <v>45513</v>
      </c>
      <c r="I234" s="5">
        <v>411178</v>
      </c>
      <c r="J234" s="5">
        <v>411178</v>
      </c>
      <c r="K234" s="2" t="s">
        <v>43</v>
      </c>
      <c r="L234" s="3"/>
      <c r="M234" s="2" t="s">
        <v>88</v>
      </c>
      <c r="N234" s="2"/>
    </row>
    <row r="235" spans="1:14" ht="13.5" customHeight="1" x14ac:dyDescent="0.3">
      <c r="A235" s="2" t="s">
        <v>532</v>
      </c>
      <c r="B235" s="3" t="s">
        <v>533</v>
      </c>
      <c r="C235" s="3" t="s">
        <v>16</v>
      </c>
      <c r="D235" s="3" t="s">
        <v>56</v>
      </c>
      <c r="E235" s="3" t="s">
        <v>41</v>
      </c>
      <c r="F235" s="2" t="s">
        <v>143</v>
      </c>
      <c r="G235" s="4">
        <v>45373</v>
      </c>
      <c r="H235" s="4">
        <v>45378</v>
      </c>
      <c r="I235" s="5">
        <v>36887</v>
      </c>
      <c r="J235" s="5">
        <v>36887</v>
      </c>
      <c r="K235" s="2" t="s">
        <v>67</v>
      </c>
      <c r="L235" s="3"/>
      <c r="M235" s="2" t="s">
        <v>121</v>
      </c>
      <c r="N235" s="2"/>
    </row>
    <row r="236" spans="1:14" ht="13.5" customHeight="1" x14ac:dyDescent="0.3">
      <c r="A236" s="2" t="s">
        <v>534</v>
      </c>
      <c r="B236" s="3" t="s">
        <v>535</v>
      </c>
      <c r="C236" s="3" t="s">
        <v>70</v>
      </c>
      <c r="D236" s="3" t="s">
        <v>40</v>
      </c>
      <c r="E236" s="3" t="s">
        <v>41</v>
      </c>
      <c r="F236" s="2" t="s">
        <v>42</v>
      </c>
      <c r="G236" s="4">
        <v>45319</v>
      </c>
      <c r="H236" s="4"/>
      <c r="I236" s="5">
        <v>22947</v>
      </c>
      <c r="J236" s="2"/>
      <c r="K236" s="2" t="s">
        <v>75</v>
      </c>
      <c r="L236" s="3"/>
      <c r="M236" s="2" t="s">
        <v>44</v>
      </c>
      <c r="N236" s="2"/>
    </row>
    <row r="237" spans="1:14" ht="13.5" customHeight="1" x14ac:dyDescent="0.3">
      <c r="A237" s="2" t="s">
        <v>536</v>
      </c>
      <c r="B237" s="3" t="s">
        <v>537</v>
      </c>
      <c r="C237" s="3" t="s">
        <v>39</v>
      </c>
      <c r="D237" s="3" t="s">
        <v>40</v>
      </c>
      <c r="E237" s="3" t="s">
        <v>33</v>
      </c>
      <c r="F237" s="2" t="s">
        <v>163</v>
      </c>
      <c r="G237" s="4">
        <v>45467</v>
      </c>
      <c r="H237" s="4">
        <v>45471</v>
      </c>
      <c r="I237" s="5">
        <v>342797</v>
      </c>
      <c r="J237" s="5">
        <v>0</v>
      </c>
      <c r="K237" s="2" t="s">
        <v>20</v>
      </c>
      <c r="L237" s="3" t="s">
        <v>114</v>
      </c>
      <c r="M237" s="2" t="s">
        <v>132</v>
      </c>
      <c r="N237" s="2"/>
    </row>
    <row r="238" spans="1:14" ht="13.5" customHeight="1" x14ac:dyDescent="0.3">
      <c r="A238" s="2" t="s">
        <v>538</v>
      </c>
      <c r="B238" s="3" t="s">
        <v>539</v>
      </c>
      <c r="C238" s="3" t="s">
        <v>70</v>
      </c>
      <c r="D238" s="3" t="s">
        <v>26</v>
      </c>
      <c r="E238" s="3" t="s">
        <v>33</v>
      </c>
      <c r="F238" s="2" t="s">
        <v>163</v>
      </c>
      <c r="G238" s="4">
        <v>45630</v>
      </c>
      <c r="H238" s="4">
        <v>45639</v>
      </c>
      <c r="I238" s="5">
        <v>269435</v>
      </c>
      <c r="J238" s="5">
        <v>269435</v>
      </c>
      <c r="K238" s="2" t="s">
        <v>67</v>
      </c>
      <c r="L238" s="3"/>
      <c r="M238" s="2" t="s">
        <v>53</v>
      </c>
      <c r="N238" s="2"/>
    </row>
    <row r="239" spans="1:14" ht="13.5" customHeight="1" x14ac:dyDescent="0.3">
      <c r="A239" s="2" t="s">
        <v>540</v>
      </c>
      <c r="B239" s="3" t="s">
        <v>541</v>
      </c>
      <c r="C239" s="3" t="s">
        <v>25</v>
      </c>
      <c r="D239" s="3" t="s">
        <v>56</v>
      </c>
      <c r="E239" s="3" t="s">
        <v>41</v>
      </c>
      <c r="F239" s="2" t="s">
        <v>143</v>
      </c>
      <c r="G239" s="4">
        <v>45371</v>
      </c>
      <c r="H239" s="4">
        <v>45381</v>
      </c>
      <c r="I239" s="5">
        <v>888345</v>
      </c>
      <c r="J239" s="5">
        <v>888345</v>
      </c>
      <c r="K239" s="2" t="s">
        <v>43</v>
      </c>
      <c r="L239" s="3"/>
      <c r="M239" s="2" t="s">
        <v>22</v>
      </c>
      <c r="N239" s="2"/>
    </row>
    <row r="240" spans="1:14" ht="13.5" customHeight="1" x14ac:dyDescent="0.3">
      <c r="A240" s="2" t="s">
        <v>542</v>
      </c>
      <c r="B240" s="3" t="s">
        <v>543</v>
      </c>
      <c r="C240" s="3" t="s">
        <v>25</v>
      </c>
      <c r="D240" s="3" t="s">
        <v>17</v>
      </c>
      <c r="E240" s="3" t="s">
        <v>18</v>
      </c>
      <c r="F240" s="2" t="s">
        <v>105</v>
      </c>
      <c r="G240" s="4">
        <v>45645</v>
      </c>
      <c r="H240" s="4">
        <v>45670</v>
      </c>
      <c r="I240" s="5">
        <v>655592</v>
      </c>
      <c r="J240" s="5">
        <v>411372</v>
      </c>
      <c r="K240" s="2" t="s">
        <v>35</v>
      </c>
      <c r="L240" s="3"/>
      <c r="M240" s="2" t="s">
        <v>93</v>
      </c>
      <c r="N240" s="2"/>
    </row>
    <row r="241" spans="1:14" ht="13.5" customHeight="1" x14ac:dyDescent="0.3">
      <c r="A241" s="2" t="s">
        <v>544</v>
      </c>
      <c r="B241" s="3" t="s">
        <v>545</v>
      </c>
      <c r="C241" s="3" t="s">
        <v>70</v>
      </c>
      <c r="D241" s="3" t="s">
        <v>26</v>
      </c>
      <c r="E241" s="3" t="s">
        <v>33</v>
      </c>
      <c r="F241" s="2" t="s">
        <v>47</v>
      </c>
      <c r="G241" s="4">
        <v>45473</v>
      </c>
      <c r="H241" s="4">
        <v>45475</v>
      </c>
      <c r="I241" s="5">
        <v>525674</v>
      </c>
      <c r="J241" s="5">
        <v>525674</v>
      </c>
      <c r="K241" s="2" t="s">
        <v>67</v>
      </c>
      <c r="L241" s="3"/>
      <c r="M241" s="2" t="s">
        <v>144</v>
      </c>
      <c r="N241" s="2"/>
    </row>
    <row r="242" spans="1:14" ht="13.5" customHeight="1" x14ac:dyDescent="0.3">
      <c r="A242" s="2" t="s">
        <v>546</v>
      </c>
      <c r="B242" s="3" t="s">
        <v>547</v>
      </c>
      <c r="C242" s="3" t="s">
        <v>70</v>
      </c>
      <c r="D242" s="3" t="s">
        <v>40</v>
      </c>
      <c r="E242" s="3" t="s">
        <v>18</v>
      </c>
      <c r="F242" s="2" t="s">
        <v>19</v>
      </c>
      <c r="G242" s="4">
        <v>45479</v>
      </c>
      <c r="H242" s="4">
        <v>45486</v>
      </c>
      <c r="I242" s="5">
        <v>874154</v>
      </c>
      <c r="J242" s="5">
        <v>398015</v>
      </c>
      <c r="K242" s="2" t="s">
        <v>35</v>
      </c>
      <c r="L242" s="3"/>
      <c r="M242" s="2" t="s">
        <v>93</v>
      </c>
      <c r="N242" s="2"/>
    </row>
    <row r="243" spans="1:14" ht="13.5" customHeight="1" x14ac:dyDescent="0.3">
      <c r="A243" s="2" t="s">
        <v>548</v>
      </c>
      <c r="B243" s="3" t="s">
        <v>549</v>
      </c>
      <c r="C243" s="3" t="s">
        <v>70</v>
      </c>
      <c r="D243" s="3" t="s">
        <v>17</v>
      </c>
      <c r="E243" s="3" t="s">
        <v>41</v>
      </c>
      <c r="F243" s="2" t="s">
        <v>42</v>
      </c>
      <c r="G243" s="4">
        <v>45412</v>
      </c>
      <c r="H243" s="4">
        <v>45427</v>
      </c>
      <c r="I243" s="5">
        <v>825862</v>
      </c>
      <c r="J243" s="5">
        <v>825862</v>
      </c>
      <c r="K243" s="2" t="s">
        <v>43</v>
      </c>
      <c r="L243" s="3"/>
      <c r="M243" s="2" t="s">
        <v>88</v>
      </c>
      <c r="N243" s="2"/>
    </row>
    <row r="244" spans="1:14" ht="13.5" customHeight="1" x14ac:dyDescent="0.3">
      <c r="A244" s="2" t="s">
        <v>550</v>
      </c>
      <c r="B244" s="3" t="s">
        <v>551</v>
      </c>
      <c r="C244" s="3" t="s">
        <v>39</v>
      </c>
      <c r="D244" s="3" t="s">
        <v>56</v>
      </c>
      <c r="E244" s="3" t="s">
        <v>33</v>
      </c>
      <c r="F244" s="2" t="s">
        <v>34</v>
      </c>
      <c r="G244" s="4">
        <v>45322</v>
      </c>
      <c r="H244" s="4">
        <v>45333</v>
      </c>
      <c r="I244" s="5">
        <v>949796</v>
      </c>
      <c r="J244" s="5">
        <v>949796</v>
      </c>
      <c r="K244" s="2" t="s">
        <v>29</v>
      </c>
      <c r="L244" s="3"/>
      <c r="M244" s="2" t="s">
        <v>59</v>
      </c>
      <c r="N244" s="2"/>
    </row>
    <row r="245" spans="1:14" ht="13.5" customHeight="1" x14ac:dyDescent="0.3">
      <c r="A245" s="2" t="s">
        <v>552</v>
      </c>
      <c r="B245" s="3" t="s">
        <v>553</v>
      </c>
      <c r="C245" s="3" t="s">
        <v>25</v>
      </c>
      <c r="D245" s="3" t="s">
        <v>17</v>
      </c>
      <c r="E245" s="3" t="s">
        <v>50</v>
      </c>
      <c r="F245" s="2" t="s">
        <v>51</v>
      </c>
      <c r="G245" s="4">
        <v>45491</v>
      </c>
      <c r="H245" s="4">
        <v>45503</v>
      </c>
      <c r="I245" s="5">
        <v>631609</v>
      </c>
      <c r="J245" s="5">
        <v>631609</v>
      </c>
      <c r="K245" s="2" t="s">
        <v>67</v>
      </c>
      <c r="L245" s="3"/>
      <c r="M245" s="2" t="s">
        <v>96</v>
      </c>
      <c r="N245" s="2"/>
    </row>
    <row r="246" spans="1:14" ht="13.5" customHeight="1" x14ac:dyDescent="0.3">
      <c r="A246" s="2" t="s">
        <v>554</v>
      </c>
      <c r="B246" s="3" t="s">
        <v>555</v>
      </c>
      <c r="C246" s="3" t="s">
        <v>70</v>
      </c>
      <c r="D246" s="3" t="s">
        <v>26</v>
      </c>
      <c r="E246" s="3" t="s">
        <v>41</v>
      </c>
      <c r="F246" s="2" t="s">
        <v>143</v>
      </c>
      <c r="G246" s="4">
        <v>45573</v>
      </c>
      <c r="H246" s="4">
        <v>45584</v>
      </c>
      <c r="I246" s="5">
        <v>443019</v>
      </c>
      <c r="J246" s="5">
        <v>443019</v>
      </c>
      <c r="K246" s="2" t="s">
        <v>29</v>
      </c>
      <c r="L246" s="3"/>
      <c r="M246" s="2" t="s">
        <v>144</v>
      </c>
      <c r="N246" s="2"/>
    </row>
    <row r="247" spans="1:14" ht="13.5" customHeight="1" x14ac:dyDescent="0.3">
      <c r="A247" s="2" t="s">
        <v>556</v>
      </c>
      <c r="B247" s="3" t="s">
        <v>557</v>
      </c>
      <c r="C247" s="3" t="s">
        <v>70</v>
      </c>
      <c r="D247" s="3" t="s">
        <v>56</v>
      </c>
      <c r="E247" s="3" t="s">
        <v>27</v>
      </c>
      <c r="F247" s="2" t="s">
        <v>28</v>
      </c>
      <c r="G247" s="4">
        <v>45492</v>
      </c>
      <c r="H247" s="4">
        <v>45495</v>
      </c>
      <c r="I247" s="5">
        <v>143580</v>
      </c>
      <c r="J247" s="5">
        <v>143580</v>
      </c>
      <c r="K247" s="2" t="s">
        <v>67</v>
      </c>
      <c r="L247" s="3"/>
      <c r="M247" s="2" t="s">
        <v>30</v>
      </c>
      <c r="N247" s="2"/>
    </row>
    <row r="248" spans="1:14" ht="13.5" customHeight="1" x14ac:dyDescent="0.3">
      <c r="A248" s="2" t="s">
        <v>558</v>
      </c>
      <c r="B248" s="3" t="s">
        <v>559</v>
      </c>
      <c r="C248" s="3" t="s">
        <v>70</v>
      </c>
      <c r="D248" s="3" t="s">
        <v>40</v>
      </c>
      <c r="E248" s="3" t="s">
        <v>27</v>
      </c>
      <c r="F248" s="2" t="s">
        <v>120</v>
      </c>
      <c r="G248" s="4">
        <v>45628</v>
      </c>
      <c r="H248" s="4">
        <v>45634</v>
      </c>
      <c r="I248" s="2"/>
      <c r="J248" s="5">
        <v>98489</v>
      </c>
      <c r="K248" s="2" t="s">
        <v>35</v>
      </c>
      <c r="L248" s="3"/>
      <c r="M248" s="2" t="s">
        <v>88</v>
      </c>
      <c r="N248" s="2"/>
    </row>
    <row r="249" spans="1:14" ht="13.5" customHeight="1" x14ac:dyDescent="0.3">
      <c r="A249" s="2" t="s">
        <v>560</v>
      </c>
      <c r="B249" s="3" t="s">
        <v>561</v>
      </c>
      <c r="C249" s="3" t="s">
        <v>25</v>
      </c>
      <c r="D249" s="3" t="s">
        <v>40</v>
      </c>
      <c r="E249" s="3" t="s">
        <v>50</v>
      </c>
      <c r="F249" s="2" t="s">
        <v>51</v>
      </c>
      <c r="G249" s="4">
        <v>45315</v>
      </c>
      <c r="H249" s="4">
        <v>45330</v>
      </c>
      <c r="I249" s="2"/>
      <c r="J249" s="5">
        <v>290105</v>
      </c>
      <c r="K249" s="2" t="s">
        <v>67</v>
      </c>
      <c r="L249" s="3"/>
      <c r="M249" s="2" t="s">
        <v>53</v>
      </c>
      <c r="N249" s="2"/>
    </row>
    <row r="250" spans="1:14" ht="13.5" customHeight="1" x14ac:dyDescent="0.3">
      <c r="A250" s="2" t="s">
        <v>562</v>
      </c>
      <c r="B250" s="3" t="s">
        <v>563</v>
      </c>
      <c r="C250" s="3" t="s">
        <v>70</v>
      </c>
      <c r="D250" s="3" t="s">
        <v>40</v>
      </c>
      <c r="E250" s="3" t="s">
        <v>18</v>
      </c>
      <c r="F250" s="2" t="s">
        <v>105</v>
      </c>
      <c r="G250" s="4">
        <v>45638</v>
      </c>
      <c r="H250" s="4">
        <v>45647</v>
      </c>
      <c r="I250" s="5">
        <v>224621</v>
      </c>
      <c r="J250" s="5">
        <v>224621</v>
      </c>
      <c r="K250" s="2" t="s">
        <v>43</v>
      </c>
      <c r="L250" s="3"/>
      <c r="M250" s="2" t="s">
        <v>96</v>
      </c>
      <c r="N250" s="2"/>
    </row>
    <row r="251" spans="1:14" ht="13.5" customHeight="1" x14ac:dyDescent="0.3">
      <c r="A251" s="2" t="s">
        <v>564</v>
      </c>
      <c r="B251" s="3" t="s">
        <v>565</v>
      </c>
      <c r="C251" s="3" t="s">
        <v>25</v>
      </c>
      <c r="D251" s="3" t="s">
        <v>26</v>
      </c>
      <c r="E251" s="3" t="s">
        <v>74</v>
      </c>
      <c r="F251" s="2" t="s">
        <v>34</v>
      </c>
      <c r="G251" s="4">
        <v>45586</v>
      </c>
      <c r="H251" s="4">
        <v>45591</v>
      </c>
      <c r="I251" s="5">
        <v>135403</v>
      </c>
      <c r="J251" s="5">
        <v>135403</v>
      </c>
      <c r="K251" s="2" t="s">
        <v>43</v>
      </c>
      <c r="L251" s="3"/>
      <c r="M251" s="2" t="s">
        <v>88</v>
      </c>
      <c r="N251" s="2"/>
    </row>
    <row r="252" spans="1:14" ht="13.5" customHeight="1" x14ac:dyDescent="0.3">
      <c r="A252" s="2" t="s">
        <v>566</v>
      </c>
      <c r="B252" s="3" t="s">
        <v>567</v>
      </c>
      <c r="C252" s="3" t="s">
        <v>70</v>
      </c>
      <c r="D252" s="3" t="s">
        <v>17</v>
      </c>
      <c r="E252" s="3" t="s">
        <v>50</v>
      </c>
      <c r="F252" s="2" t="s">
        <v>81</v>
      </c>
      <c r="G252" s="4">
        <v>45400</v>
      </c>
      <c r="H252" s="4">
        <v>45421</v>
      </c>
      <c r="I252" s="5">
        <v>488121</v>
      </c>
      <c r="J252" s="5">
        <v>488121</v>
      </c>
      <c r="K252" s="2" t="s">
        <v>43</v>
      </c>
      <c r="L252" s="3"/>
      <c r="M252" s="2" t="s">
        <v>59</v>
      </c>
      <c r="N252" s="2"/>
    </row>
    <row r="253" spans="1:14" ht="13.5" customHeight="1" x14ac:dyDescent="0.3">
      <c r="A253" s="2" t="s">
        <v>568</v>
      </c>
      <c r="B253" s="3" t="s">
        <v>569</v>
      </c>
      <c r="C253" s="3" t="s">
        <v>25</v>
      </c>
      <c r="D253" s="3" t="s">
        <v>17</v>
      </c>
      <c r="E253" s="3" t="s">
        <v>18</v>
      </c>
      <c r="F253" s="2" t="s">
        <v>19</v>
      </c>
      <c r="G253" s="4">
        <v>45536</v>
      </c>
      <c r="H253" s="4">
        <v>45543</v>
      </c>
      <c r="I253" s="5">
        <v>206339</v>
      </c>
      <c r="J253" s="5">
        <v>206339</v>
      </c>
      <c r="K253" s="2" t="s">
        <v>67</v>
      </c>
      <c r="L253" s="3"/>
      <c r="M253" s="2" t="s">
        <v>22</v>
      </c>
      <c r="N253" s="2"/>
    </row>
    <row r="254" spans="1:14" ht="13.5" customHeight="1" x14ac:dyDescent="0.3">
      <c r="A254" s="2" t="s">
        <v>570</v>
      </c>
      <c r="B254" s="3" t="s">
        <v>571</v>
      </c>
      <c r="C254" s="3" t="s">
        <v>25</v>
      </c>
      <c r="D254" s="3" t="s">
        <v>40</v>
      </c>
      <c r="E254" s="3" t="s">
        <v>27</v>
      </c>
      <c r="F254" s="2" t="s">
        <v>28</v>
      </c>
      <c r="G254" s="4">
        <v>45326</v>
      </c>
      <c r="H254" s="4">
        <v>45333</v>
      </c>
      <c r="I254" s="5">
        <v>798160</v>
      </c>
      <c r="J254" s="5">
        <v>798160</v>
      </c>
      <c r="K254" s="2" t="s">
        <v>29</v>
      </c>
      <c r="L254" s="3"/>
      <c r="M254" s="2" t="s">
        <v>63</v>
      </c>
      <c r="N254" s="2"/>
    </row>
    <row r="255" spans="1:14" ht="13.5" customHeight="1" x14ac:dyDescent="0.3">
      <c r="A255" s="2" t="s">
        <v>572</v>
      </c>
      <c r="B255" s="3" t="s">
        <v>573</v>
      </c>
      <c r="C255" s="3" t="s">
        <v>70</v>
      </c>
      <c r="D255" s="3" t="s">
        <v>56</v>
      </c>
      <c r="E255" s="3" t="s">
        <v>57</v>
      </c>
      <c r="F255" s="2" t="s">
        <v>113</v>
      </c>
      <c r="G255" s="4">
        <v>45472</v>
      </c>
      <c r="H255" s="4">
        <v>45477</v>
      </c>
      <c r="I255" s="5">
        <v>110443</v>
      </c>
      <c r="J255" s="5">
        <v>43164</v>
      </c>
      <c r="K255" s="2" t="s">
        <v>35</v>
      </c>
      <c r="L255" s="3"/>
      <c r="M255" s="2" t="s">
        <v>132</v>
      </c>
      <c r="N255" s="2"/>
    </row>
    <row r="256" spans="1:14" ht="13.5" customHeight="1" x14ac:dyDescent="0.3">
      <c r="A256" s="2" t="s">
        <v>574</v>
      </c>
      <c r="B256" s="3" t="s">
        <v>575</v>
      </c>
      <c r="C256" s="3" t="s">
        <v>70</v>
      </c>
      <c r="D256" s="3" t="s">
        <v>62</v>
      </c>
      <c r="E256" s="3" t="s">
        <v>33</v>
      </c>
      <c r="F256" s="2" t="s">
        <v>47</v>
      </c>
      <c r="G256" s="4">
        <v>45581</v>
      </c>
      <c r="H256" s="4">
        <v>45592</v>
      </c>
      <c r="I256" s="5">
        <v>322382</v>
      </c>
      <c r="J256" s="5">
        <v>245060</v>
      </c>
      <c r="K256" s="2" t="s">
        <v>35</v>
      </c>
      <c r="L256" s="3"/>
      <c r="M256" s="2" t="s">
        <v>78</v>
      </c>
      <c r="N256" s="2"/>
    </row>
    <row r="257" spans="1:14" ht="13.5" customHeight="1" x14ac:dyDescent="0.3">
      <c r="A257" s="2" t="s">
        <v>576</v>
      </c>
      <c r="B257" s="3" t="s">
        <v>577</v>
      </c>
      <c r="C257" s="3" t="s">
        <v>70</v>
      </c>
      <c r="D257" s="3" t="s">
        <v>56</v>
      </c>
      <c r="E257" s="3" t="s">
        <v>18</v>
      </c>
      <c r="F257" s="2" t="s">
        <v>19</v>
      </c>
      <c r="G257" s="4">
        <v>45356</v>
      </c>
      <c r="H257" s="4">
        <v>45367</v>
      </c>
      <c r="I257" s="5">
        <v>562933</v>
      </c>
      <c r="J257" s="5">
        <v>0</v>
      </c>
      <c r="K257" s="2" t="s">
        <v>20</v>
      </c>
      <c r="L257" s="3" t="s">
        <v>21</v>
      </c>
      <c r="M257" s="2" t="s">
        <v>93</v>
      </c>
      <c r="N257" s="2"/>
    </row>
    <row r="258" spans="1:14" ht="13.5" customHeight="1" x14ac:dyDescent="0.3">
      <c r="A258" s="2" t="s">
        <v>578</v>
      </c>
      <c r="B258" s="3" t="s">
        <v>579</v>
      </c>
      <c r="C258" s="3" t="s">
        <v>39</v>
      </c>
      <c r="D258" s="3" t="s">
        <v>26</v>
      </c>
      <c r="E258" s="3" t="s">
        <v>33</v>
      </c>
      <c r="F258" s="2" t="s">
        <v>47</v>
      </c>
      <c r="G258" s="4">
        <v>45447</v>
      </c>
      <c r="H258" s="4">
        <v>45463</v>
      </c>
      <c r="I258" s="5">
        <v>937912</v>
      </c>
      <c r="J258" s="5">
        <v>937912</v>
      </c>
      <c r="K258" s="2" t="s">
        <v>29</v>
      </c>
      <c r="L258" s="3"/>
      <c r="M258" s="2" t="s">
        <v>59</v>
      </c>
      <c r="N258" s="2"/>
    </row>
    <row r="259" spans="1:14" ht="13.5" customHeight="1" x14ac:dyDescent="0.3">
      <c r="A259" s="2" t="s">
        <v>580</v>
      </c>
      <c r="B259" s="3" t="s">
        <v>581</v>
      </c>
      <c r="C259" s="3" t="s">
        <v>25</v>
      </c>
      <c r="D259" s="3" t="s">
        <v>26</v>
      </c>
      <c r="E259" s="3" t="s">
        <v>27</v>
      </c>
      <c r="F259" s="2" t="s">
        <v>28</v>
      </c>
      <c r="G259" s="4">
        <v>45340</v>
      </c>
      <c r="H259" s="4">
        <v>45359</v>
      </c>
      <c r="I259" s="5">
        <v>517938</v>
      </c>
      <c r="J259" s="5">
        <v>517938</v>
      </c>
      <c r="K259" s="2" t="s">
        <v>43</v>
      </c>
      <c r="L259" s="3"/>
      <c r="M259" s="2" t="s">
        <v>144</v>
      </c>
      <c r="N259" s="2"/>
    </row>
    <row r="260" spans="1:14" ht="13.5" customHeight="1" x14ac:dyDescent="0.3">
      <c r="A260" s="2" t="s">
        <v>582</v>
      </c>
      <c r="B260" s="3" t="s">
        <v>583</v>
      </c>
      <c r="C260" s="3" t="s">
        <v>25</v>
      </c>
      <c r="D260" s="3" t="s">
        <v>62</v>
      </c>
      <c r="E260" s="3" t="s">
        <v>41</v>
      </c>
      <c r="F260" s="2" t="s">
        <v>143</v>
      </c>
      <c r="G260" s="4">
        <v>45549</v>
      </c>
      <c r="H260" s="4">
        <v>45553</v>
      </c>
      <c r="I260" s="5">
        <v>104408</v>
      </c>
      <c r="J260" s="5">
        <v>65740</v>
      </c>
      <c r="K260" s="2" t="s">
        <v>35</v>
      </c>
      <c r="L260" s="3"/>
      <c r="M260" s="2" t="s">
        <v>121</v>
      </c>
      <c r="N260" s="2"/>
    </row>
    <row r="261" spans="1:14" ht="13.5" customHeight="1" x14ac:dyDescent="0.3">
      <c r="A261" s="2" t="s">
        <v>584</v>
      </c>
      <c r="B261" s="3" t="s">
        <v>585</v>
      </c>
      <c r="C261" s="3" t="s">
        <v>70</v>
      </c>
      <c r="D261" s="3" t="s">
        <v>40</v>
      </c>
      <c r="E261" s="3" t="s">
        <v>18</v>
      </c>
      <c r="F261" s="2" t="s">
        <v>19</v>
      </c>
      <c r="G261" s="4">
        <v>45539</v>
      </c>
      <c r="H261" s="4">
        <v>45553</v>
      </c>
      <c r="I261" s="5">
        <v>908241</v>
      </c>
      <c r="J261" s="5">
        <v>908241</v>
      </c>
      <c r="K261" s="2" t="s">
        <v>43</v>
      </c>
      <c r="L261" s="3"/>
      <c r="M261" s="2" t="s">
        <v>30</v>
      </c>
      <c r="N261" s="2"/>
    </row>
    <row r="262" spans="1:14" ht="13.5" customHeight="1" x14ac:dyDescent="0.3">
      <c r="A262" s="2" t="s">
        <v>586</v>
      </c>
      <c r="B262" s="3" t="s">
        <v>587</v>
      </c>
      <c r="C262" s="3" t="s">
        <v>70</v>
      </c>
      <c r="D262" s="3" t="s">
        <v>62</v>
      </c>
      <c r="E262" s="3" t="s">
        <v>27</v>
      </c>
      <c r="F262" s="2" t="s">
        <v>28</v>
      </c>
      <c r="G262" s="4">
        <v>45342</v>
      </c>
      <c r="H262" s="4">
        <v>45363</v>
      </c>
      <c r="I262" s="5">
        <v>428367</v>
      </c>
      <c r="J262" s="5">
        <v>428367</v>
      </c>
      <c r="K262" s="2" t="s">
        <v>43</v>
      </c>
      <c r="L262" s="3"/>
      <c r="M262" s="2" t="s">
        <v>132</v>
      </c>
      <c r="N262" s="2"/>
    </row>
    <row r="263" spans="1:14" ht="13.5" customHeight="1" x14ac:dyDescent="0.3">
      <c r="A263" s="2" t="s">
        <v>588</v>
      </c>
      <c r="B263" s="3" t="s">
        <v>589</v>
      </c>
      <c r="C263" s="3" t="s">
        <v>39</v>
      </c>
      <c r="D263" s="3" t="s">
        <v>26</v>
      </c>
      <c r="E263" s="3" t="s">
        <v>74</v>
      </c>
      <c r="F263" s="2" t="s">
        <v>47</v>
      </c>
      <c r="G263" s="4">
        <v>45306</v>
      </c>
      <c r="H263" s="4"/>
      <c r="I263" s="5">
        <v>669542</v>
      </c>
      <c r="J263" s="2"/>
      <c r="K263" s="2" t="s">
        <v>75</v>
      </c>
      <c r="L263" s="3"/>
      <c r="M263" s="2" t="s">
        <v>93</v>
      </c>
      <c r="N263" s="2"/>
    </row>
    <row r="264" spans="1:14" ht="13.5" customHeight="1" x14ac:dyDescent="0.3">
      <c r="A264" s="2" t="s">
        <v>590</v>
      </c>
      <c r="B264" s="3" t="s">
        <v>591</v>
      </c>
      <c r="C264" s="3" t="s">
        <v>70</v>
      </c>
      <c r="D264" s="3" t="s">
        <v>56</v>
      </c>
      <c r="E264" s="3" t="s">
        <v>41</v>
      </c>
      <c r="F264" s="2" t="s">
        <v>42</v>
      </c>
      <c r="G264" s="4">
        <v>45445</v>
      </c>
      <c r="H264" s="4">
        <v>45450</v>
      </c>
      <c r="I264" s="5">
        <v>849956</v>
      </c>
      <c r="J264" s="5">
        <v>849956</v>
      </c>
      <c r="K264" s="2" t="s">
        <v>29</v>
      </c>
      <c r="L264" s="3"/>
      <c r="M264" s="2" t="s">
        <v>78</v>
      </c>
      <c r="N264" s="2"/>
    </row>
    <row r="265" spans="1:14" ht="13.5" customHeight="1" x14ac:dyDescent="0.3">
      <c r="A265" s="2" t="s">
        <v>592</v>
      </c>
      <c r="B265" s="3" t="s">
        <v>593</v>
      </c>
      <c r="C265" s="3" t="s">
        <v>25</v>
      </c>
      <c r="D265" s="3" t="s">
        <v>56</v>
      </c>
      <c r="E265" s="3" t="s">
        <v>18</v>
      </c>
      <c r="F265" s="2" t="s">
        <v>105</v>
      </c>
      <c r="G265" s="4">
        <v>45471</v>
      </c>
      <c r="H265" s="4">
        <v>45483</v>
      </c>
      <c r="I265" s="5">
        <v>58759</v>
      </c>
      <c r="J265" s="5">
        <v>58759</v>
      </c>
      <c r="K265" s="2" t="s">
        <v>29</v>
      </c>
      <c r="L265" s="3"/>
      <c r="M265" s="2" t="s">
        <v>88</v>
      </c>
      <c r="N265" s="2"/>
    </row>
    <row r="266" spans="1:14" ht="13.5" customHeight="1" x14ac:dyDescent="0.3">
      <c r="A266" s="2" t="s">
        <v>594</v>
      </c>
      <c r="B266" s="3" t="s">
        <v>595</v>
      </c>
      <c r="C266" s="3" t="s">
        <v>70</v>
      </c>
      <c r="D266" s="3" t="s">
        <v>26</v>
      </c>
      <c r="E266" s="3" t="s">
        <v>41</v>
      </c>
      <c r="F266" s="2" t="s">
        <v>143</v>
      </c>
      <c r="G266" s="4">
        <v>45538</v>
      </c>
      <c r="H266" s="4">
        <v>45547</v>
      </c>
      <c r="I266" s="5">
        <v>845720</v>
      </c>
      <c r="J266" s="5">
        <v>845720</v>
      </c>
      <c r="K266" s="2" t="s">
        <v>43</v>
      </c>
      <c r="L266" s="3"/>
      <c r="M266" s="2" t="s">
        <v>30</v>
      </c>
      <c r="N266" s="2"/>
    </row>
    <row r="267" spans="1:14" ht="13.5" customHeight="1" x14ac:dyDescent="0.3">
      <c r="A267" s="2" t="s">
        <v>596</v>
      </c>
      <c r="B267" s="3" t="s">
        <v>597</v>
      </c>
      <c r="C267" s="3" t="s">
        <v>70</v>
      </c>
      <c r="D267" s="3" t="s">
        <v>56</v>
      </c>
      <c r="E267" s="3" t="s">
        <v>50</v>
      </c>
      <c r="F267" s="2" t="s">
        <v>51</v>
      </c>
      <c r="G267" s="4">
        <v>45499</v>
      </c>
      <c r="H267" s="4">
        <v>45511</v>
      </c>
      <c r="I267" s="5">
        <v>444397</v>
      </c>
      <c r="J267" s="5">
        <v>444397</v>
      </c>
      <c r="K267" s="2" t="s">
        <v>67</v>
      </c>
      <c r="L267" s="3"/>
      <c r="M267" s="2" t="s">
        <v>59</v>
      </c>
      <c r="N267" s="2"/>
    </row>
    <row r="268" spans="1:14" ht="13.5" customHeight="1" x14ac:dyDescent="0.3">
      <c r="A268" s="2" t="s">
        <v>598</v>
      </c>
      <c r="B268" s="3" t="s">
        <v>599</v>
      </c>
      <c r="C268" s="3" t="s">
        <v>70</v>
      </c>
      <c r="D268" s="3" t="s">
        <v>62</v>
      </c>
      <c r="E268" s="3" t="s">
        <v>41</v>
      </c>
      <c r="F268" s="2" t="s">
        <v>42</v>
      </c>
      <c r="G268" s="4">
        <v>45457</v>
      </c>
      <c r="H268" s="4"/>
      <c r="I268" s="5">
        <v>508735</v>
      </c>
      <c r="J268" s="2"/>
      <c r="K268" s="2" t="s">
        <v>75</v>
      </c>
      <c r="L268" s="3"/>
      <c r="M268" s="2" t="s">
        <v>53</v>
      </c>
      <c r="N268" s="2"/>
    </row>
    <row r="269" spans="1:14" ht="13.5" customHeight="1" x14ac:dyDescent="0.3">
      <c r="A269" s="2" t="s">
        <v>600</v>
      </c>
      <c r="B269" s="3" t="s">
        <v>601</v>
      </c>
      <c r="C269" s="3" t="s">
        <v>39</v>
      </c>
      <c r="D269" s="3" t="s">
        <v>56</v>
      </c>
      <c r="E269" s="3" t="s">
        <v>74</v>
      </c>
      <c r="F269" s="2" t="s">
        <v>47</v>
      </c>
      <c r="G269" s="4">
        <v>45610</v>
      </c>
      <c r="H269" s="4">
        <v>45624</v>
      </c>
      <c r="I269" s="5">
        <v>405999</v>
      </c>
      <c r="J269" s="5">
        <v>0</v>
      </c>
      <c r="K269" s="2" t="s">
        <v>20</v>
      </c>
      <c r="L269" s="3" t="s">
        <v>106</v>
      </c>
      <c r="M269" s="2" t="s">
        <v>144</v>
      </c>
      <c r="N269" s="2"/>
    </row>
    <row r="270" spans="1:14" ht="13.5" customHeight="1" x14ac:dyDescent="0.3">
      <c r="A270" s="2" t="s">
        <v>602</v>
      </c>
      <c r="B270" s="3" t="s">
        <v>603</v>
      </c>
      <c r="C270" s="3" t="s">
        <v>70</v>
      </c>
      <c r="D270" s="3" t="s">
        <v>17</v>
      </c>
      <c r="E270" s="3" t="s">
        <v>74</v>
      </c>
      <c r="F270" s="2" t="s">
        <v>34</v>
      </c>
      <c r="G270" s="4">
        <v>45440</v>
      </c>
      <c r="H270" s="4">
        <v>45459</v>
      </c>
      <c r="I270" s="5">
        <v>131514</v>
      </c>
      <c r="J270" s="5">
        <v>131514</v>
      </c>
      <c r="K270" s="2" t="s">
        <v>43</v>
      </c>
      <c r="L270" s="3"/>
      <c r="M270" s="2" t="s">
        <v>63</v>
      </c>
      <c r="N270" s="2"/>
    </row>
    <row r="271" spans="1:14" ht="13.5" customHeight="1" x14ac:dyDescent="0.3">
      <c r="A271" s="2" t="s">
        <v>604</v>
      </c>
      <c r="B271" s="3" t="s">
        <v>605</v>
      </c>
      <c r="C271" s="3" t="s">
        <v>16</v>
      </c>
      <c r="D271" s="3" t="s">
        <v>26</v>
      </c>
      <c r="E271" s="3" t="s">
        <v>27</v>
      </c>
      <c r="F271" s="2" t="s">
        <v>28</v>
      </c>
      <c r="G271" s="4">
        <v>45509</v>
      </c>
      <c r="H271" s="4">
        <v>45526</v>
      </c>
      <c r="I271" s="5">
        <v>476492</v>
      </c>
      <c r="J271" s="5">
        <v>476492</v>
      </c>
      <c r="K271" s="2" t="s">
        <v>29</v>
      </c>
      <c r="L271" s="3"/>
      <c r="M271" s="2" t="s">
        <v>96</v>
      </c>
      <c r="N271" s="2"/>
    </row>
    <row r="272" spans="1:14" ht="13.5" customHeight="1" x14ac:dyDescent="0.3">
      <c r="A272" s="2" t="s">
        <v>606</v>
      </c>
      <c r="B272" s="3" t="s">
        <v>607</v>
      </c>
      <c r="C272" s="3" t="s">
        <v>39</v>
      </c>
      <c r="D272" s="3" t="s">
        <v>62</v>
      </c>
      <c r="E272" s="3" t="s">
        <v>41</v>
      </c>
      <c r="F272" s="2" t="s">
        <v>143</v>
      </c>
      <c r="G272" s="4">
        <v>45488</v>
      </c>
      <c r="H272" s="4">
        <v>45495</v>
      </c>
      <c r="I272" s="5">
        <v>267060</v>
      </c>
      <c r="J272" s="5">
        <v>267060</v>
      </c>
      <c r="K272" s="2" t="s">
        <v>67</v>
      </c>
      <c r="L272" s="3"/>
      <c r="M272" s="2" t="s">
        <v>117</v>
      </c>
      <c r="N272" s="2"/>
    </row>
    <row r="273" spans="1:14" ht="13.5" customHeight="1" x14ac:dyDescent="0.3">
      <c r="A273" s="2" t="s">
        <v>608</v>
      </c>
      <c r="B273" s="3" t="s">
        <v>609</v>
      </c>
      <c r="C273" s="3" t="s">
        <v>25</v>
      </c>
      <c r="D273" s="3" t="s">
        <v>17</v>
      </c>
      <c r="E273" s="3" t="s">
        <v>33</v>
      </c>
      <c r="F273" s="2" t="s">
        <v>47</v>
      </c>
      <c r="G273" s="4">
        <v>45318</v>
      </c>
      <c r="H273" s="4"/>
      <c r="I273" s="5">
        <v>362993</v>
      </c>
      <c r="J273" s="2"/>
      <c r="K273" s="2" t="s">
        <v>75</v>
      </c>
      <c r="L273" s="3"/>
      <c r="M273" s="2" t="s">
        <v>63</v>
      </c>
      <c r="N273" s="2"/>
    </row>
    <row r="274" spans="1:14" ht="13.5" customHeight="1" x14ac:dyDescent="0.3">
      <c r="A274" s="2" t="s">
        <v>462</v>
      </c>
      <c r="B274" s="3" t="s">
        <v>463</v>
      </c>
      <c r="C274" s="3" t="s">
        <v>70</v>
      </c>
      <c r="D274" s="3" t="s">
        <v>26</v>
      </c>
      <c r="E274" s="3" t="s">
        <v>57</v>
      </c>
      <c r="F274" s="2" t="s">
        <v>113</v>
      </c>
      <c r="G274" s="4">
        <v>45631</v>
      </c>
      <c r="H274" s="4">
        <v>45633</v>
      </c>
      <c r="I274" s="5">
        <v>390134</v>
      </c>
      <c r="J274" s="5">
        <v>0</v>
      </c>
      <c r="K274" s="2" t="s">
        <v>20</v>
      </c>
      <c r="L274" s="3" t="s">
        <v>52</v>
      </c>
      <c r="M274" s="2" t="s">
        <v>53</v>
      </c>
      <c r="N274" s="2"/>
    </row>
    <row r="275" spans="1:14" ht="13.5" customHeight="1" x14ac:dyDescent="0.3">
      <c r="A275" s="2" t="s">
        <v>610</v>
      </c>
      <c r="B275" s="3" t="s">
        <v>611</v>
      </c>
      <c r="C275" s="3" t="s">
        <v>25</v>
      </c>
      <c r="D275" s="3" t="s">
        <v>62</v>
      </c>
      <c r="E275" s="3" t="s">
        <v>18</v>
      </c>
      <c r="F275" s="2" t="s">
        <v>19</v>
      </c>
      <c r="G275" s="4">
        <v>45495</v>
      </c>
      <c r="H275" s="4">
        <v>45496</v>
      </c>
      <c r="I275" s="5">
        <v>755659</v>
      </c>
      <c r="J275" s="5">
        <v>755659</v>
      </c>
      <c r="K275" s="2" t="s">
        <v>67</v>
      </c>
      <c r="L275" s="3"/>
      <c r="M275" s="2" t="s">
        <v>144</v>
      </c>
      <c r="N275" s="2"/>
    </row>
    <row r="276" spans="1:14" ht="13.5" customHeight="1" x14ac:dyDescent="0.3">
      <c r="A276" s="2" t="s">
        <v>612</v>
      </c>
      <c r="B276" s="3" t="s">
        <v>613</v>
      </c>
      <c r="C276" s="3" t="s">
        <v>25</v>
      </c>
      <c r="D276" s="3" t="s">
        <v>26</v>
      </c>
      <c r="E276" s="3" t="s">
        <v>33</v>
      </c>
      <c r="F276" s="2" t="s">
        <v>47</v>
      </c>
      <c r="G276" s="4">
        <v>45491</v>
      </c>
      <c r="H276" s="4">
        <v>45506</v>
      </c>
      <c r="I276" s="5">
        <v>625796</v>
      </c>
      <c r="J276" s="5">
        <v>211644</v>
      </c>
      <c r="K276" s="2" t="s">
        <v>35</v>
      </c>
      <c r="L276" s="3"/>
      <c r="M276" s="2" t="s">
        <v>63</v>
      </c>
      <c r="N276" s="2"/>
    </row>
    <row r="277" spans="1:14" ht="13.5" customHeight="1" x14ac:dyDescent="0.3">
      <c r="A277" s="2" t="s">
        <v>614</v>
      </c>
      <c r="B277" s="3" t="s">
        <v>615</v>
      </c>
      <c r="C277" s="3" t="s">
        <v>70</v>
      </c>
      <c r="D277" s="3" t="s">
        <v>56</v>
      </c>
      <c r="E277" s="3" t="s">
        <v>41</v>
      </c>
      <c r="F277" s="2" t="s">
        <v>143</v>
      </c>
      <c r="G277" s="4">
        <v>45508</v>
      </c>
      <c r="H277" s="4">
        <v>45519</v>
      </c>
      <c r="I277" s="5">
        <v>34396</v>
      </c>
      <c r="J277" s="5">
        <v>16715</v>
      </c>
      <c r="K277" s="2" t="s">
        <v>35</v>
      </c>
      <c r="L277" s="3"/>
      <c r="M277" s="2" t="s">
        <v>93</v>
      </c>
      <c r="N277" s="2"/>
    </row>
    <row r="278" spans="1:14" ht="13.5" customHeight="1" x14ac:dyDescent="0.3">
      <c r="A278" s="2" t="s">
        <v>616</v>
      </c>
      <c r="B278" s="3" t="s">
        <v>617</v>
      </c>
      <c r="C278" s="3" t="s">
        <v>70</v>
      </c>
      <c r="D278" s="3" t="s">
        <v>62</v>
      </c>
      <c r="E278" s="3" t="s">
        <v>41</v>
      </c>
      <c r="F278" s="2" t="s">
        <v>42</v>
      </c>
      <c r="G278" s="4">
        <v>45374</v>
      </c>
      <c r="H278" s="4">
        <v>45378</v>
      </c>
      <c r="I278" s="5">
        <v>934390</v>
      </c>
      <c r="J278" s="5">
        <v>329475</v>
      </c>
      <c r="K278" s="2" t="s">
        <v>35</v>
      </c>
      <c r="L278" s="3"/>
      <c r="M278" s="2" t="s">
        <v>59</v>
      </c>
      <c r="N278" s="2"/>
    </row>
    <row r="279" spans="1:14" ht="13.5" customHeight="1" x14ac:dyDescent="0.3">
      <c r="A279" s="2" t="s">
        <v>618</v>
      </c>
      <c r="B279" s="3" t="s">
        <v>619</v>
      </c>
      <c r="C279" s="3" t="s">
        <v>39</v>
      </c>
      <c r="D279" s="3" t="s">
        <v>26</v>
      </c>
      <c r="E279" s="3" t="s">
        <v>41</v>
      </c>
      <c r="F279" s="2" t="s">
        <v>143</v>
      </c>
      <c r="G279" s="4">
        <v>45430</v>
      </c>
      <c r="H279" s="4">
        <v>45432</v>
      </c>
      <c r="I279" s="2"/>
      <c r="J279" s="5">
        <v>270614</v>
      </c>
      <c r="K279" s="2" t="s">
        <v>67</v>
      </c>
      <c r="L279" s="3"/>
      <c r="M279" s="2" t="s">
        <v>44</v>
      </c>
      <c r="N279" s="2"/>
    </row>
    <row r="280" spans="1:14" ht="13.5" customHeight="1" x14ac:dyDescent="0.3">
      <c r="A280" s="2" t="s">
        <v>620</v>
      </c>
      <c r="B280" s="3" t="s">
        <v>621</v>
      </c>
      <c r="C280" s="3" t="s">
        <v>70</v>
      </c>
      <c r="D280" s="3" t="s">
        <v>62</v>
      </c>
      <c r="E280" s="3" t="s">
        <v>18</v>
      </c>
      <c r="F280" s="2" t="s">
        <v>19</v>
      </c>
      <c r="G280" s="4">
        <v>45429</v>
      </c>
      <c r="H280" s="4">
        <v>45431</v>
      </c>
      <c r="I280" s="5">
        <v>863623</v>
      </c>
      <c r="J280" s="5">
        <v>863623</v>
      </c>
      <c r="K280" s="2" t="s">
        <v>43</v>
      </c>
      <c r="L280" s="3"/>
      <c r="M280" s="2" t="s">
        <v>22</v>
      </c>
      <c r="N280" s="2"/>
    </row>
    <row r="281" spans="1:14" ht="13.5" customHeight="1" x14ac:dyDescent="0.3">
      <c r="A281" s="2" t="s">
        <v>622</v>
      </c>
      <c r="B281" s="3" t="s">
        <v>623</v>
      </c>
      <c r="C281" s="3" t="s">
        <v>39</v>
      </c>
      <c r="D281" s="3" t="s">
        <v>56</v>
      </c>
      <c r="E281" s="3" t="s">
        <v>50</v>
      </c>
      <c r="F281" s="2" t="s">
        <v>81</v>
      </c>
      <c r="G281" s="4">
        <v>45366</v>
      </c>
      <c r="H281" s="4">
        <v>45380</v>
      </c>
      <c r="I281" s="5">
        <v>879051</v>
      </c>
      <c r="J281" s="5">
        <v>879051</v>
      </c>
      <c r="K281" s="2" t="s">
        <v>43</v>
      </c>
      <c r="L281" s="3"/>
      <c r="M281" s="2" t="s">
        <v>144</v>
      </c>
      <c r="N281" s="2"/>
    </row>
    <row r="282" spans="1:14" ht="13.5" customHeight="1" x14ac:dyDescent="0.3">
      <c r="A282" s="2" t="s">
        <v>624</v>
      </c>
      <c r="B282" s="3" t="s">
        <v>625</v>
      </c>
      <c r="C282" s="3" t="s">
        <v>25</v>
      </c>
      <c r="D282" s="3" t="s">
        <v>40</v>
      </c>
      <c r="E282" s="3" t="s">
        <v>74</v>
      </c>
      <c r="F282" s="2" t="s">
        <v>34</v>
      </c>
      <c r="G282" s="4">
        <v>45387</v>
      </c>
      <c r="H282" s="4"/>
      <c r="I282" s="5">
        <v>371272</v>
      </c>
      <c r="J282" s="2"/>
      <c r="K282" s="2" t="s">
        <v>75</v>
      </c>
      <c r="L282" s="3"/>
      <c r="M282" s="2" t="s">
        <v>36</v>
      </c>
      <c r="N282" s="2"/>
    </row>
    <row r="283" spans="1:14" ht="13.5" customHeight="1" x14ac:dyDescent="0.3">
      <c r="A283" s="2" t="s">
        <v>626</v>
      </c>
      <c r="B283" s="3" t="s">
        <v>627</v>
      </c>
      <c r="C283" s="3" t="s">
        <v>25</v>
      </c>
      <c r="D283" s="3" t="s">
        <v>26</v>
      </c>
      <c r="E283" s="3" t="s">
        <v>50</v>
      </c>
      <c r="F283" s="2" t="s">
        <v>81</v>
      </c>
      <c r="G283" s="4">
        <v>45535</v>
      </c>
      <c r="H283" s="4">
        <v>45536</v>
      </c>
      <c r="I283" s="5">
        <v>267059</v>
      </c>
      <c r="J283" s="5">
        <v>267059</v>
      </c>
      <c r="K283" s="2" t="s">
        <v>43</v>
      </c>
      <c r="L283" s="3"/>
      <c r="M283" s="2" t="s">
        <v>44</v>
      </c>
      <c r="N283" s="2"/>
    </row>
    <row r="284" spans="1:14" ht="13.5" customHeight="1" x14ac:dyDescent="0.3">
      <c r="A284" s="2" t="s">
        <v>628</v>
      </c>
      <c r="B284" s="3" t="s">
        <v>629</v>
      </c>
      <c r="C284" s="3" t="s">
        <v>70</v>
      </c>
      <c r="D284" s="3" t="s">
        <v>62</v>
      </c>
      <c r="E284" s="3" t="s">
        <v>27</v>
      </c>
      <c r="F284" s="2" t="s">
        <v>28</v>
      </c>
      <c r="G284" s="4">
        <v>45514</v>
      </c>
      <c r="H284" s="4">
        <v>45522</v>
      </c>
      <c r="I284" s="2"/>
      <c r="J284" s="5">
        <v>151363</v>
      </c>
      <c r="K284" s="2" t="s">
        <v>35</v>
      </c>
      <c r="L284" s="3"/>
      <c r="M284" s="2" t="s">
        <v>36</v>
      </c>
      <c r="N284" s="2"/>
    </row>
    <row r="285" spans="1:14" ht="13.5" customHeight="1" x14ac:dyDescent="0.3">
      <c r="A285" s="2" t="s">
        <v>630</v>
      </c>
      <c r="B285" s="3" t="s">
        <v>631</v>
      </c>
      <c r="C285" s="3" t="s">
        <v>25</v>
      </c>
      <c r="D285" s="3" t="s">
        <v>56</v>
      </c>
      <c r="E285" s="3" t="s">
        <v>50</v>
      </c>
      <c r="F285" s="2" t="s">
        <v>81</v>
      </c>
      <c r="G285" s="4">
        <v>45305</v>
      </c>
      <c r="H285" s="4">
        <v>45310</v>
      </c>
      <c r="I285" s="5">
        <v>651955</v>
      </c>
      <c r="J285" s="5">
        <v>434229</v>
      </c>
      <c r="K285" s="2" t="s">
        <v>35</v>
      </c>
      <c r="L285" s="3"/>
      <c r="M285" s="2" t="s">
        <v>93</v>
      </c>
      <c r="N285" s="2"/>
    </row>
    <row r="286" spans="1:14" ht="13.5" customHeight="1" x14ac:dyDescent="0.3">
      <c r="A286" s="2" t="s">
        <v>632</v>
      </c>
      <c r="B286" s="3" t="s">
        <v>633</v>
      </c>
      <c r="C286" s="3" t="s">
        <v>25</v>
      </c>
      <c r="D286" s="3" t="s">
        <v>26</v>
      </c>
      <c r="E286" s="3" t="s">
        <v>50</v>
      </c>
      <c r="F286" s="2" t="s">
        <v>51</v>
      </c>
      <c r="G286" s="4">
        <v>45306</v>
      </c>
      <c r="H286" s="4">
        <v>45309</v>
      </c>
      <c r="I286" s="2"/>
      <c r="J286" s="5">
        <v>0</v>
      </c>
      <c r="K286" s="2" t="s">
        <v>20</v>
      </c>
      <c r="L286" s="3" t="s">
        <v>114</v>
      </c>
      <c r="M286" s="2" t="s">
        <v>44</v>
      </c>
      <c r="N286" s="2"/>
    </row>
    <row r="287" spans="1:14" ht="13.5" customHeight="1" x14ac:dyDescent="0.3">
      <c r="A287" s="2" t="s">
        <v>634</v>
      </c>
      <c r="B287" s="3" t="s">
        <v>635</v>
      </c>
      <c r="C287" s="3" t="s">
        <v>70</v>
      </c>
      <c r="D287" s="3" t="s">
        <v>62</v>
      </c>
      <c r="E287" s="3" t="s">
        <v>50</v>
      </c>
      <c r="F287" s="2" t="s">
        <v>51</v>
      </c>
      <c r="G287" s="4">
        <v>45365</v>
      </c>
      <c r="H287" s="4">
        <v>45370</v>
      </c>
      <c r="I287" s="2"/>
      <c r="J287" s="5">
        <v>0</v>
      </c>
      <c r="K287" s="2" t="s">
        <v>20</v>
      </c>
      <c r="L287" s="3" t="s">
        <v>21</v>
      </c>
      <c r="M287" s="2" t="s">
        <v>30</v>
      </c>
      <c r="N287" s="2"/>
    </row>
    <row r="288" spans="1:14" ht="13.5" customHeight="1" x14ac:dyDescent="0.3">
      <c r="A288" s="2" t="s">
        <v>636</v>
      </c>
      <c r="B288" s="3" t="s">
        <v>637</v>
      </c>
      <c r="C288" s="3" t="s">
        <v>39</v>
      </c>
      <c r="D288" s="3" t="s">
        <v>40</v>
      </c>
      <c r="E288" s="3" t="s">
        <v>27</v>
      </c>
      <c r="F288" s="2" t="s">
        <v>120</v>
      </c>
      <c r="G288" s="4">
        <v>45606</v>
      </c>
      <c r="H288" s="4"/>
      <c r="I288" s="5">
        <v>877466</v>
      </c>
      <c r="J288" s="2"/>
      <c r="K288" s="2" t="s">
        <v>75</v>
      </c>
      <c r="L288" s="3"/>
      <c r="M288" s="2" t="s">
        <v>132</v>
      </c>
      <c r="N288" s="2"/>
    </row>
    <row r="289" spans="1:14" ht="13.5" customHeight="1" x14ac:dyDescent="0.3">
      <c r="A289" s="2" t="s">
        <v>638</v>
      </c>
      <c r="B289" s="3" t="s">
        <v>639</v>
      </c>
      <c r="C289" s="3" t="s">
        <v>16</v>
      </c>
      <c r="D289" s="3" t="s">
        <v>62</v>
      </c>
      <c r="E289" s="3" t="s">
        <v>27</v>
      </c>
      <c r="F289" s="2" t="s">
        <v>28</v>
      </c>
      <c r="G289" s="4">
        <v>45292</v>
      </c>
      <c r="H289" s="4"/>
      <c r="I289" s="5">
        <v>251874</v>
      </c>
      <c r="J289" s="2"/>
      <c r="K289" s="2" t="s">
        <v>75</v>
      </c>
      <c r="L289" s="3"/>
      <c r="M289" s="2" t="s">
        <v>96</v>
      </c>
      <c r="N289" s="2"/>
    </row>
    <row r="290" spans="1:14" ht="13.5" customHeight="1" x14ac:dyDescent="0.3">
      <c r="A290" s="2" t="s">
        <v>640</v>
      </c>
      <c r="B290" s="3" t="s">
        <v>641</v>
      </c>
      <c r="C290" s="3" t="s">
        <v>70</v>
      </c>
      <c r="D290" s="3" t="s">
        <v>17</v>
      </c>
      <c r="E290" s="3" t="s">
        <v>33</v>
      </c>
      <c r="F290" s="2" t="s">
        <v>47</v>
      </c>
      <c r="G290" s="4">
        <v>45390</v>
      </c>
      <c r="H290" s="4">
        <v>45392</v>
      </c>
      <c r="I290" s="5">
        <v>28497</v>
      </c>
      <c r="J290" s="5">
        <v>28497</v>
      </c>
      <c r="K290" s="2" t="s">
        <v>29</v>
      </c>
      <c r="L290" s="3"/>
      <c r="M290" s="2" t="s">
        <v>78</v>
      </c>
      <c r="N290" s="2"/>
    </row>
    <row r="291" spans="1:14" ht="13.5" customHeight="1" x14ac:dyDescent="0.3">
      <c r="A291" s="2" t="s">
        <v>642</v>
      </c>
      <c r="B291" s="3" t="s">
        <v>643</v>
      </c>
      <c r="C291" s="3" t="s">
        <v>39</v>
      </c>
      <c r="D291" s="3" t="s">
        <v>62</v>
      </c>
      <c r="E291" s="3" t="s">
        <v>74</v>
      </c>
      <c r="F291" s="2" t="s">
        <v>47</v>
      </c>
      <c r="G291" s="4">
        <v>45550</v>
      </c>
      <c r="H291" s="4">
        <v>45560</v>
      </c>
      <c r="I291" s="5">
        <v>218149</v>
      </c>
      <c r="J291" s="5">
        <v>218149</v>
      </c>
      <c r="K291" s="2" t="s">
        <v>29</v>
      </c>
      <c r="L291" s="3"/>
      <c r="M291" s="2" t="s">
        <v>36</v>
      </c>
      <c r="N291" s="2"/>
    </row>
    <row r="292" spans="1:14" ht="13.5" customHeight="1" x14ac:dyDescent="0.3">
      <c r="A292" s="2" t="s">
        <v>644</v>
      </c>
      <c r="B292" s="3" t="s">
        <v>645</v>
      </c>
      <c r="C292" s="3" t="s">
        <v>16</v>
      </c>
      <c r="D292" s="3" t="s">
        <v>26</v>
      </c>
      <c r="E292" s="3" t="s">
        <v>27</v>
      </c>
      <c r="F292" s="2" t="s">
        <v>28</v>
      </c>
      <c r="G292" s="4">
        <v>45476</v>
      </c>
      <c r="H292" s="4">
        <v>45484</v>
      </c>
      <c r="I292" s="5">
        <v>471765</v>
      </c>
      <c r="J292" s="5">
        <v>471765</v>
      </c>
      <c r="K292" s="2" t="s">
        <v>67</v>
      </c>
      <c r="L292" s="3"/>
      <c r="M292" s="2" t="s">
        <v>44</v>
      </c>
      <c r="N292" s="2"/>
    </row>
    <row r="293" spans="1:14" ht="13.5" customHeight="1" x14ac:dyDescent="0.3">
      <c r="A293" s="2" t="s">
        <v>646</v>
      </c>
      <c r="B293" s="3" t="s">
        <v>647</v>
      </c>
      <c r="C293" s="3" t="s">
        <v>39</v>
      </c>
      <c r="D293" s="3" t="s">
        <v>40</v>
      </c>
      <c r="E293" s="3" t="s">
        <v>33</v>
      </c>
      <c r="F293" s="2" t="s">
        <v>163</v>
      </c>
      <c r="G293" s="4">
        <v>45430</v>
      </c>
      <c r="H293" s="4">
        <v>45445</v>
      </c>
      <c r="I293" s="5">
        <v>589934</v>
      </c>
      <c r="J293" s="5">
        <v>589934</v>
      </c>
      <c r="K293" s="2" t="s">
        <v>67</v>
      </c>
      <c r="L293" s="3"/>
      <c r="M293" s="2" t="s">
        <v>88</v>
      </c>
      <c r="N293" s="2"/>
    </row>
    <row r="294" spans="1:14" ht="13.5" customHeight="1" x14ac:dyDescent="0.3">
      <c r="A294" s="2" t="s">
        <v>648</v>
      </c>
      <c r="B294" s="3" t="s">
        <v>649</v>
      </c>
      <c r="C294" s="3" t="s">
        <v>25</v>
      </c>
      <c r="D294" s="3" t="s">
        <v>17</v>
      </c>
      <c r="E294" s="3" t="s">
        <v>18</v>
      </c>
      <c r="F294" s="2" t="s">
        <v>105</v>
      </c>
      <c r="G294" s="4">
        <v>45474</v>
      </c>
      <c r="H294" s="4"/>
      <c r="I294" s="5">
        <v>566463</v>
      </c>
      <c r="J294" s="2"/>
      <c r="K294" s="2" t="s">
        <v>75</v>
      </c>
      <c r="L294" s="3"/>
      <c r="M294" s="2" t="s">
        <v>117</v>
      </c>
      <c r="N294" s="2"/>
    </row>
    <row r="295" spans="1:14" ht="13.5" customHeight="1" x14ac:dyDescent="0.3">
      <c r="A295" s="2" t="s">
        <v>650</v>
      </c>
      <c r="B295" s="3" t="s">
        <v>651</v>
      </c>
      <c r="C295" s="3" t="s">
        <v>16</v>
      </c>
      <c r="D295" s="3" t="s">
        <v>40</v>
      </c>
      <c r="E295" s="3" t="s">
        <v>18</v>
      </c>
      <c r="F295" s="2" t="s">
        <v>19</v>
      </c>
      <c r="G295" s="4">
        <v>45390</v>
      </c>
      <c r="H295" s="4">
        <v>45406</v>
      </c>
      <c r="I295" s="2"/>
      <c r="J295" s="5">
        <v>948565</v>
      </c>
      <c r="K295" s="2" t="s">
        <v>43</v>
      </c>
      <c r="L295" s="3"/>
      <c r="M295" s="2" t="s">
        <v>78</v>
      </c>
      <c r="N295" s="2"/>
    </row>
    <row r="296" spans="1:14" ht="13.5" customHeight="1" x14ac:dyDescent="0.3">
      <c r="A296" s="2" t="s">
        <v>652</v>
      </c>
      <c r="B296" s="3" t="s">
        <v>653</v>
      </c>
      <c r="C296" s="3" t="s">
        <v>16</v>
      </c>
      <c r="D296" s="3" t="s">
        <v>40</v>
      </c>
      <c r="E296" s="3" t="s">
        <v>27</v>
      </c>
      <c r="F296" s="2" t="s">
        <v>28</v>
      </c>
      <c r="G296" s="4">
        <v>45407</v>
      </c>
      <c r="H296" s="4">
        <v>45422</v>
      </c>
      <c r="I296" s="5">
        <v>822302</v>
      </c>
      <c r="J296" s="5">
        <v>822302</v>
      </c>
      <c r="K296" s="2" t="s">
        <v>29</v>
      </c>
      <c r="L296" s="3"/>
      <c r="M296" s="2" t="s">
        <v>88</v>
      </c>
      <c r="N296" s="2"/>
    </row>
    <row r="297" spans="1:14" ht="13.5" customHeight="1" x14ac:dyDescent="0.3">
      <c r="A297" s="2" t="s">
        <v>654</v>
      </c>
      <c r="B297" s="3" t="s">
        <v>655</v>
      </c>
      <c r="C297" s="3" t="s">
        <v>16</v>
      </c>
      <c r="D297" s="3" t="s">
        <v>62</v>
      </c>
      <c r="E297" s="3" t="s">
        <v>18</v>
      </c>
      <c r="F297" s="2" t="s">
        <v>19</v>
      </c>
      <c r="G297" s="4">
        <v>45331</v>
      </c>
      <c r="H297" s="4"/>
      <c r="I297" s="5">
        <v>479283</v>
      </c>
      <c r="J297" s="2"/>
      <c r="K297" s="2" t="s">
        <v>75</v>
      </c>
      <c r="L297" s="3"/>
      <c r="M297" s="2" t="s">
        <v>78</v>
      </c>
      <c r="N297" s="2"/>
    </row>
    <row r="298" spans="1:14" ht="13.5" customHeight="1" x14ac:dyDescent="0.3">
      <c r="A298" s="2" t="s">
        <v>656</v>
      </c>
      <c r="B298" s="3" t="s">
        <v>657</v>
      </c>
      <c r="C298" s="3" t="s">
        <v>39</v>
      </c>
      <c r="D298" s="3" t="s">
        <v>56</v>
      </c>
      <c r="E298" s="3" t="s">
        <v>74</v>
      </c>
      <c r="F298" s="2" t="s">
        <v>34</v>
      </c>
      <c r="G298" s="4">
        <v>45294</v>
      </c>
      <c r="H298" s="4">
        <v>45298</v>
      </c>
      <c r="I298" s="5">
        <v>622292</v>
      </c>
      <c r="J298" s="5">
        <v>622292</v>
      </c>
      <c r="K298" s="2" t="s">
        <v>43</v>
      </c>
      <c r="L298" s="3"/>
      <c r="M298" s="2" t="s">
        <v>132</v>
      </c>
      <c r="N298" s="2"/>
    </row>
    <row r="299" spans="1:14" ht="13.5" customHeight="1" x14ac:dyDescent="0.3">
      <c r="A299" s="2" t="s">
        <v>658</v>
      </c>
      <c r="B299" s="3" t="s">
        <v>659</v>
      </c>
      <c r="C299" s="3" t="s">
        <v>25</v>
      </c>
      <c r="D299" s="3" t="s">
        <v>40</v>
      </c>
      <c r="E299" s="3" t="s">
        <v>57</v>
      </c>
      <c r="F299" s="2" t="s">
        <v>113</v>
      </c>
      <c r="G299" s="4">
        <v>45334</v>
      </c>
      <c r="H299" s="4">
        <v>45346</v>
      </c>
      <c r="I299" s="5">
        <v>592455</v>
      </c>
      <c r="J299" s="5">
        <v>592455</v>
      </c>
      <c r="K299" s="2" t="s">
        <v>67</v>
      </c>
      <c r="L299" s="3"/>
      <c r="M299" s="2" t="s">
        <v>121</v>
      </c>
      <c r="N299" s="2"/>
    </row>
    <row r="300" spans="1:14" ht="13.5" customHeight="1" x14ac:dyDescent="0.3">
      <c r="A300" s="2" t="s">
        <v>660</v>
      </c>
      <c r="B300" s="3" t="s">
        <v>661</v>
      </c>
      <c r="C300" s="3" t="s">
        <v>70</v>
      </c>
      <c r="D300" s="3" t="s">
        <v>40</v>
      </c>
      <c r="E300" s="3" t="s">
        <v>50</v>
      </c>
      <c r="F300" s="2" t="s">
        <v>81</v>
      </c>
      <c r="G300" s="4">
        <v>45442</v>
      </c>
      <c r="H300" s="4">
        <v>45454</v>
      </c>
      <c r="I300" s="5">
        <v>288668</v>
      </c>
      <c r="J300" s="5">
        <v>288668</v>
      </c>
      <c r="K300" s="2" t="s">
        <v>43</v>
      </c>
      <c r="L300" s="3"/>
      <c r="M300" s="2" t="s">
        <v>144</v>
      </c>
      <c r="N300" s="2"/>
    </row>
    <row r="301" spans="1:14" ht="13.5" customHeight="1" x14ac:dyDescent="0.3">
      <c r="A301" s="2" t="s">
        <v>662</v>
      </c>
      <c r="B301" s="3" t="s">
        <v>663</v>
      </c>
      <c r="C301" s="3" t="s">
        <v>16</v>
      </c>
      <c r="D301" s="3" t="s">
        <v>40</v>
      </c>
      <c r="E301" s="3" t="s">
        <v>41</v>
      </c>
      <c r="F301" s="2" t="s">
        <v>143</v>
      </c>
      <c r="G301" s="4">
        <v>45514</v>
      </c>
      <c r="H301" s="4"/>
      <c r="I301" s="5">
        <v>356669</v>
      </c>
      <c r="J301" s="2"/>
      <c r="K301" s="2" t="s">
        <v>75</v>
      </c>
      <c r="L301" s="3"/>
      <c r="M301" s="2" t="s">
        <v>44</v>
      </c>
      <c r="N301" s="2"/>
    </row>
    <row r="302" spans="1:14" ht="13.5" customHeight="1" x14ac:dyDescent="0.3">
      <c r="A302" s="2" t="s">
        <v>664</v>
      </c>
      <c r="B302" s="3" t="s">
        <v>665</v>
      </c>
      <c r="C302" s="3" t="s">
        <v>70</v>
      </c>
      <c r="D302" s="3" t="s">
        <v>40</v>
      </c>
      <c r="E302" s="3" t="s">
        <v>41</v>
      </c>
      <c r="F302" s="2" t="s">
        <v>42</v>
      </c>
      <c r="G302" s="4">
        <v>45634</v>
      </c>
      <c r="H302" s="4">
        <v>45654</v>
      </c>
      <c r="I302" s="5">
        <v>220328</v>
      </c>
      <c r="J302" s="5">
        <v>220328</v>
      </c>
      <c r="K302" s="2" t="s">
        <v>43</v>
      </c>
      <c r="L302" s="3"/>
      <c r="M302" s="2" t="s">
        <v>144</v>
      </c>
      <c r="N302" s="2"/>
    </row>
    <row r="303" spans="1:14" ht="13.5" customHeight="1" x14ac:dyDescent="0.3">
      <c r="A303" s="2" t="s">
        <v>666</v>
      </c>
      <c r="B303" s="3" t="s">
        <v>667</v>
      </c>
      <c r="C303" s="3" t="s">
        <v>70</v>
      </c>
      <c r="D303" s="3" t="s">
        <v>40</v>
      </c>
      <c r="E303" s="3" t="s">
        <v>27</v>
      </c>
      <c r="F303" s="2" t="s">
        <v>120</v>
      </c>
      <c r="G303" s="4">
        <v>45438</v>
      </c>
      <c r="H303" s="4">
        <v>45452</v>
      </c>
      <c r="I303" s="5">
        <v>389975</v>
      </c>
      <c r="J303" s="5">
        <v>389975</v>
      </c>
      <c r="K303" s="2" t="s">
        <v>67</v>
      </c>
      <c r="L303" s="3"/>
      <c r="M303" s="2" t="s">
        <v>36</v>
      </c>
      <c r="N303" s="2"/>
    </row>
    <row r="304" spans="1:14" ht="13.5" customHeight="1" x14ac:dyDescent="0.3">
      <c r="A304" s="2" t="s">
        <v>668</v>
      </c>
      <c r="B304" s="3" t="s">
        <v>669</v>
      </c>
      <c r="C304" s="3" t="s">
        <v>16</v>
      </c>
      <c r="D304" s="3" t="s">
        <v>62</v>
      </c>
      <c r="E304" s="3" t="s">
        <v>18</v>
      </c>
      <c r="F304" s="2" t="s">
        <v>105</v>
      </c>
      <c r="G304" s="4">
        <v>45414</v>
      </c>
      <c r="H304" s="4">
        <v>45423</v>
      </c>
      <c r="I304" s="5">
        <v>523277</v>
      </c>
      <c r="J304" s="5">
        <v>523277</v>
      </c>
      <c r="K304" s="2" t="s">
        <v>29</v>
      </c>
      <c r="L304" s="3"/>
      <c r="M304" s="2" t="s">
        <v>36</v>
      </c>
      <c r="N304" s="2"/>
    </row>
    <row r="306" spans="1:8" x14ac:dyDescent="0.3">
      <c r="A306" s="12" t="s">
        <v>670</v>
      </c>
      <c r="B306" s="12"/>
      <c r="C306" s="12"/>
      <c r="D306" s="12"/>
      <c r="E306" s="12"/>
      <c r="F306" s="12"/>
      <c r="G306" s="12"/>
      <c r="H306" s="12"/>
    </row>
  </sheetData>
  <mergeCells count="1">
    <mergeCell ref="A306:H30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30CE-06AC-4475-8EEB-7CDAF5E3C4F1}">
  <dimension ref="A1:AJ301"/>
  <sheetViews>
    <sheetView tabSelected="1" topLeftCell="C1" zoomScaleNormal="100" workbookViewId="0">
      <pane ySplit="1" topLeftCell="A2" activePane="bottomLeft" state="frozen"/>
      <selection pane="bottomLeft" activeCell="O2" sqref="O2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6" customWidth="1"/>
    <col min="4" max="5" width="18" customWidth="1"/>
    <col min="6" max="9" width="14" customWidth="1"/>
    <col min="10" max="10" width="15" customWidth="1"/>
    <col min="11" max="11" width="14" customWidth="1"/>
    <col min="12" max="12" width="26" customWidth="1"/>
    <col min="13" max="13" width="12" customWidth="1"/>
    <col min="14" max="14" width="15" customWidth="1"/>
    <col min="16" max="16" width="22.88671875" customWidth="1"/>
    <col min="19" max="19" width="15.33203125" customWidth="1"/>
    <col min="21" max="21" width="15.6640625" customWidth="1"/>
    <col min="22" max="22" width="18.5546875" customWidth="1"/>
    <col min="26" max="26" width="29.21875" customWidth="1"/>
    <col min="31" max="31" width="12" customWidth="1"/>
    <col min="32" max="32" width="10" bestFit="1" customWidth="1"/>
    <col min="35" max="35" width="15.88671875" customWidth="1"/>
    <col min="36" max="36" width="18.77734375" customWidth="1"/>
  </cols>
  <sheetData>
    <row r="1" spans="1:3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" t="s">
        <v>695</v>
      </c>
    </row>
    <row r="2" spans="1:36" ht="13.5" customHeight="1" x14ac:dyDescent="0.3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2" t="s">
        <v>19</v>
      </c>
      <c r="G2" s="4">
        <v>45475</v>
      </c>
      <c r="H2" s="4">
        <v>45479</v>
      </c>
      <c r="I2" s="5">
        <v>406921</v>
      </c>
      <c r="J2" s="5">
        <v>0</v>
      </c>
      <c r="K2" s="2" t="s">
        <v>20</v>
      </c>
      <c r="L2" s="3" t="s">
        <v>21</v>
      </c>
      <c r="M2" s="2" t="s">
        <v>22</v>
      </c>
      <c r="N2" s="2">
        <f>IF(H2="","Pending",H2-G2)</f>
        <v>4</v>
      </c>
      <c r="P2" t="str">
        <f>IF(I2 = "", "Missing", "Recorded")</f>
        <v>Recorded</v>
      </c>
    </row>
    <row r="3" spans="1:36" ht="13.5" customHeight="1" x14ac:dyDescent="0.3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2" t="s">
        <v>28</v>
      </c>
      <c r="G3" s="4">
        <v>45298</v>
      </c>
      <c r="H3" s="4">
        <v>45302</v>
      </c>
      <c r="I3" s="5">
        <v>289828</v>
      </c>
      <c r="J3" s="5">
        <v>289828</v>
      </c>
      <c r="K3" s="2" t="s">
        <v>67</v>
      </c>
      <c r="L3" s="3"/>
      <c r="M3" s="2" t="s">
        <v>30</v>
      </c>
      <c r="N3" s="2">
        <f t="shared" ref="N3:N66" si="0">IF(H3="","Pending",H3-G3)</f>
        <v>4</v>
      </c>
      <c r="P3" t="str">
        <f t="shared" ref="P3:P66" si="1">IF(I3 = "", "Missing", "Recorded")</f>
        <v>Recorded</v>
      </c>
    </row>
    <row r="4" spans="1:36" ht="13.5" customHeight="1" x14ac:dyDescent="0.3">
      <c r="A4" s="2" t="s">
        <v>31</v>
      </c>
      <c r="B4" s="3" t="s">
        <v>32</v>
      </c>
      <c r="C4" s="3" t="s">
        <v>25</v>
      </c>
      <c r="D4" s="3" t="s">
        <v>26</v>
      </c>
      <c r="E4" s="3" t="s">
        <v>33</v>
      </c>
      <c r="F4" s="2" t="s">
        <v>34</v>
      </c>
      <c r="G4" s="4">
        <v>45596</v>
      </c>
      <c r="H4" s="4">
        <v>45600</v>
      </c>
      <c r="I4" s="2"/>
      <c r="J4" s="5">
        <v>520219</v>
      </c>
      <c r="K4" s="2" t="s">
        <v>35</v>
      </c>
      <c r="L4" s="3"/>
      <c r="M4" s="2" t="s">
        <v>36</v>
      </c>
      <c r="N4" s="2">
        <f t="shared" si="0"/>
        <v>4</v>
      </c>
      <c r="P4" t="str">
        <f t="shared" si="1"/>
        <v>Missing</v>
      </c>
    </row>
    <row r="5" spans="1:36" ht="13.5" customHeight="1" x14ac:dyDescent="0.3">
      <c r="A5" s="2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2" t="s">
        <v>42</v>
      </c>
      <c r="G5" s="4">
        <v>45497</v>
      </c>
      <c r="H5" s="4">
        <v>45508</v>
      </c>
      <c r="I5" s="5">
        <v>623936</v>
      </c>
      <c r="J5" s="5">
        <v>623936</v>
      </c>
      <c r="K5" s="2" t="s">
        <v>67</v>
      </c>
      <c r="L5" s="3"/>
      <c r="M5" s="2" t="s">
        <v>44</v>
      </c>
      <c r="N5" s="2">
        <f t="shared" si="0"/>
        <v>11</v>
      </c>
      <c r="P5" t="str">
        <f t="shared" si="1"/>
        <v>Recorded</v>
      </c>
    </row>
    <row r="6" spans="1:36" ht="13.5" customHeight="1" x14ac:dyDescent="0.3">
      <c r="A6" s="2" t="s">
        <v>45</v>
      </c>
      <c r="B6" s="3" t="s">
        <v>46</v>
      </c>
      <c r="C6" s="3" t="s">
        <v>16</v>
      </c>
      <c r="D6" s="3" t="s">
        <v>40</v>
      </c>
      <c r="E6" s="3" t="s">
        <v>33</v>
      </c>
      <c r="F6" s="2" t="s">
        <v>47</v>
      </c>
      <c r="G6" s="4">
        <v>45647</v>
      </c>
      <c r="H6" s="4">
        <v>45658</v>
      </c>
      <c r="I6" s="5">
        <v>773168</v>
      </c>
      <c r="J6" s="5">
        <v>525502</v>
      </c>
      <c r="K6" s="2" t="s">
        <v>35</v>
      </c>
      <c r="L6" s="3"/>
      <c r="M6" s="2" t="s">
        <v>44</v>
      </c>
      <c r="N6" s="2">
        <f t="shared" si="0"/>
        <v>11</v>
      </c>
      <c r="P6" t="str">
        <f t="shared" si="1"/>
        <v>Recorded</v>
      </c>
      <c r="R6" t="s">
        <v>2</v>
      </c>
      <c r="S6" t="s">
        <v>696</v>
      </c>
      <c r="T6" t="s">
        <v>697</v>
      </c>
      <c r="U6" t="s">
        <v>698</v>
      </c>
      <c r="V6" t="s">
        <v>11</v>
      </c>
      <c r="W6" t="s">
        <v>699</v>
      </c>
      <c r="Z6" t="s">
        <v>11</v>
      </c>
      <c r="AC6" t="s">
        <v>700</v>
      </c>
      <c r="AE6" t="s">
        <v>701</v>
      </c>
      <c r="AF6" t="s">
        <v>702</v>
      </c>
      <c r="AI6" t="s">
        <v>703</v>
      </c>
      <c r="AJ6" t="s">
        <v>704</v>
      </c>
    </row>
    <row r="7" spans="1:36" ht="13.5" customHeight="1" x14ac:dyDescent="0.3">
      <c r="A7" s="2" t="s">
        <v>48</v>
      </c>
      <c r="B7" s="3" t="s">
        <v>49</v>
      </c>
      <c r="C7" s="3" t="s">
        <v>25</v>
      </c>
      <c r="D7" s="3" t="s">
        <v>40</v>
      </c>
      <c r="E7" s="3" t="s">
        <v>50</v>
      </c>
      <c r="F7" s="2" t="s">
        <v>51</v>
      </c>
      <c r="G7" s="4">
        <v>45337</v>
      </c>
      <c r="H7" s="4">
        <v>45349</v>
      </c>
      <c r="I7" s="5">
        <v>396857</v>
      </c>
      <c r="J7" s="5">
        <v>0</v>
      </c>
      <c r="K7" s="2" t="s">
        <v>20</v>
      </c>
      <c r="L7" s="3" t="s">
        <v>52</v>
      </c>
      <c r="M7" s="2" t="s">
        <v>53</v>
      </c>
      <c r="N7" s="2">
        <f t="shared" si="0"/>
        <v>12</v>
      </c>
      <c r="P7" t="str">
        <f t="shared" si="1"/>
        <v>Recorded</v>
      </c>
      <c r="R7" t="s">
        <v>70</v>
      </c>
      <c r="S7">
        <f>COUNTIFS($C$2:$C$301,R7,$K$2:$K$301,"Rejected")</f>
        <v>17</v>
      </c>
      <c r="T7">
        <f>COUNTIF(C:C,R7)</f>
        <v>98</v>
      </c>
      <c r="U7">
        <f>S7/T7*100</f>
        <v>17.346938775510203</v>
      </c>
      <c r="V7" s="3" t="s">
        <v>106</v>
      </c>
      <c r="W7">
        <f>COUNTIF(L:L,V7)</f>
        <v>5</v>
      </c>
      <c r="Z7" s="3" t="s">
        <v>106</v>
      </c>
      <c r="AA7">
        <f>COUNTIFS($C$2:$C$301,"Leadway",$L$2:$L$301,Z7)</f>
        <v>0</v>
      </c>
      <c r="AC7">
        <f>AVERAGEIF($C$2:$C$301,R7,$N$2:$N$301)</f>
        <v>11.287356321839081</v>
      </c>
      <c r="AE7" t="s">
        <v>40</v>
      </c>
      <c r="AF7">
        <f>SUMIF($D$2:$D$301,AE7,$I$2:$I$301)</f>
        <v>28818989</v>
      </c>
      <c r="AG7">
        <f>COUNTIFS($D$2:$D$301,AE7,$P$2:$P$301,"Missing")</f>
        <v>5</v>
      </c>
      <c r="AI7" s="3" t="s">
        <v>18</v>
      </c>
      <c r="AJ7">
        <f>AVERAGEIF($E$2:$E$301,AI7,$I$2:$I$301)</f>
        <v>549240.29032258061</v>
      </c>
    </row>
    <row r="8" spans="1:36" ht="13.5" customHeight="1" x14ac:dyDescent="0.3">
      <c r="A8" s="2" t="s">
        <v>54</v>
      </c>
      <c r="B8" s="3" t="s">
        <v>55</v>
      </c>
      <c r="C8" s="3" t="s">
        <v>39</v>
      </c>
      <c r="D8" s="3" t="s">
        <v>56</v>
      </c>
      <c r="E8" s="3" t="s">
        <v>57</v>
      </c>
      <c r="F8" s="2" t="s">
        <v>58</v>
      </c>
      <c r="G8" s="4">
        <v>45417</v>
      </c>
      <c r="H8" s="4">
        <v>45436</v>
      </c>
      <c r="I8" s="5">
        <v>935117</v>
      </c>
      <c r="J8" s="5">
        <v>935117</v>
      </c>
      <c r="K8" s="2" t="s">
        <v>67</v>
      </c>
      <c r="L8" s="3"/>
      <c r="M8" s="2" t="s">
        <v>59</v>
      </c>
      <c r="N8" s="2">
        <f t="shared" si="0"/>
        <v>19</v>
      </c>
      <c r="P8" t="str">
        <f t="shared" si="1"/>
        <v>Recorded</v>
      </c>
      <c r="R8" t="s">
        <v>39</v>
      </c>
      <c r="S8">
        <f t="shared" ref="S8:S10" si="2">COUNTIFS($C$2:$C$301,R8,$K$2:$K$301,"Rejected")</f>
        <v>10</v>
      </c>
      <c r="T8">
        <f>COUNTIF(C:C,R8)</f>
        <v>55</v>
      </c>
      <c r="U8">
        <f t="shared" ref="U8:U10" si="3">S8/T8*100</f>
        <v>18.181818181818183</v>
      </c>
      <c r="V8" s="3" t="s">
        <v>71</v>
      </c>
      <c r="W8">
        <f t="shared" ref="W8:W10" si="4">COUNTIF(L:L,V8)</f>
        <v>13</v>
      </c>
      <c r="Z8" s="3" t="s">
        <v>71</v>
      </c>
      <c r="AA8">
        <f t="shared" ref="AA8:AA11" si="5">COUNTIFS($C$2:$C$301,"Leadway",$L$2:$L$301,Z8)</f>
        <v>2</v>
      </c>
      <c r="AC8">
        <f t="shared" ref="AC8:AC10" si="6">AVERAGEIF($C$2:$C$301,R8,$N$2:$N$301)</f>
        <v>9.4117647058823533</v>
      </c>
      <c r="AE8" t="s">
        <v>26</v>
      </c>
      <c r="AF8">
        <f t="shared" ref="AF8:AF11" si="7">SUMIF($D$2:$D$301,AE8,$I$2:$I$301)</f>
        <v>25611599</v>
      </c>
      <c r="AG8">
        <f t="shared" ref="AG8:AG11" si="8">COUNTIFS($D$2:$D$301,AE8,$P$2:$P$301,"Missing")</f>
        <v>4</v>
      </c>
      <c r="AI8" s="3" t="s">
        <v>27</v>
      </c>
      <c r="AJ8">
        <f t="shared" ref="AJ8:AJ13" si="9">AVERAGEIF($E$2:$E$301,AI8,$I$2:$I$301)</f>
        <v>508253.40625</v>
      </c>
    </row>
    <row r="9" spans="1:36" ht="13.5" customHeight="1" x14ac:dyDescent="0.3">
      <c r="A9" s="2" t="s">
        <v>60</v>
      </c>
      <c r="B9" s="3" t="s">
        <v>61</v>
      </c>
      <c r="C9" s="3" t="s">
        <v>16</v>
      </c>
      <c r="D9" s="3" t="s">
        <v>62</v>
      </c>
      <c r="E9" s="3" t="s">
        <v>33</v>
      </c>
      <c r="F9" s="2" t="s">
        <v>47</v>
      </c>
      <c r="G9" s="4">
        <v>45536</v>
      </c>
      <c r="H9" s="4">
        <v>45544</v>
      </c>
      <c r="I9" s="5">
        <v>287193</v>
      </c>
      <c r="J9" s="5">
        <v>287193</v>
      </c>
      <c r="K9" s="2" t="s">
        <v>67</v>
      </c>
      <c r="L9" s="3"/>
      <c r="M9" s="2" t="s">
        <v>63</v>
      </c>
      <c r="N9" s="2">
        <f t="shared" si="0"/>
        <v>8</v>
      </c>
      <c r="P9" t="str">
        <f t="shared" si="1"/>
        <v>Recorded</v>
      </c>
      <c r="R9" t="s">
        <v>25</v>
      </c>
      <c r="S9">
        <f t="shared" si="2"/>
        <v>17</v>
      </c>
      <c r="T9">
        <f t="shared" ref="T9:T10" si="10">COUNTIF(C:C,R9)</f>
        <v>97</v>
      </c>
      <c r="U9">
        <f t="shared" si="3"/>
        <v>17.525773195876287</v>
      </c>
      <c r="V9" s="3" t="s">
        <v>21</v>
      </c>
      <c r="W9">
        <f t="shared" si="4"/>
        <v>13</v>
      </c>
      <c r="Z9" s="3" t="s">
        <v>21</v>
      </c>
      <c r="AA9">
        <f t="shared" si="5"/>
        <v>6</v>
      </c>
      <c r="AC9">
        <f t="shared" si="6"/>
        <v>11.686746987951807</v>
      </c>
      <c r="AE9" t="s">
        <v>17</v>
      </c>
      <c r="AF9">
        <f t="shared" si="7"/>
        <v>21370061</v>
      </c>
      <c r="AG9">
        <f>COUNTIFS($D$2:$D$301,AE9,$P$2:$P$301,"Missing")</f>
        <v>2</v>
      </c>
      <c r="AI9" s="3" t="s">
        <v>41</v>
      </c>
      <c r="AJ9">
        <f t="shared" si="9"/>
        <v>445349.01851851854</v>
      </c>
    </row>
    <row r="10" spans="1:36" ht="13.5" customHeight="1" x14ac:dyDescent="0.3">
      <c r="A10" s="2" t="s">
        <v>64</v>
      </c>
      <c r="B10" s="3" t="s">
        <v>65</v>
      </c>
      <c r="C10" s="3" t="s">
        <v>16</v>
      </c>
      <c r="D10" s="3" t="s">
        <v>26</v>
      </c>
      <c r="E10" s="3" t="s">
        <v>57</v>
      </c>
      <c r="F10" s="2" t="s">
        <v>66</v>
      </c>
      <c r="G10" s="4">
        <v>45561</v>
      </c>
      <c r="H10" s="4">
        <v>45576</v>
      </c>
      <c r="I10" s="5">
        <v>693062</v>
      </c>
      <c r="J10" s="5">
        <v>693062</v>
      </c>
      <c r="K10" s="2" t="s">
        <v>67</v>
      </c>
      <c r="L10" s="3"/>
      <c r="M10" s="2" t="s">
        <v>59</v>
      </c>
      <c r="N10" s="2">
        <f t="shared" si="0"/>
        <v>15</v>
      </c>
      <c r="P10" t="str">
        <f t="shared" si="1"/>
        <v>Recorded</v>
      </c>
      <c r="R10" t="s">
        <v>16</v>
      </c>
      <c r="S10">
        <f t="shared" si="2"/>
        <v>12</v>
      </c>
      <c r="T10">
        <f t="shared" si="10"/>
        <v>50</v>
      </c>
      <c r="U10">
        <f t="shared" si="3"/>
        <v>24</v>
      </c>
      <c r="V10" s="3" t="s">
        <v>114</v>
      </c>
      <c r="W10">
        <f t="shared" si="4"/>
        <v>12</v>
      </c>
      <c r="Z10" s="3" t="s">
        <v>114</v>
      </c>
      <c r="AA10">
        <f t="shared" si="5"/>
        <v>1</v>
      </c>
      <c r="AC10">
        <f t="shared" si="6"/>
        <v>9.4761904761904763</v>
      </c>
      <c r="AE10" t="s">
        <v>62</v>
      </c>
      <c r="AF10">
        <f t="shared" si="7"/>
        <v>25648568</v>
      </c>
      <c r="AG10">
        <f t="shared" si="8"/>
        <v>5</v>
      </c>
      <c r="AI10" s="3" t="s">
        <v>33</v>
      </c>
      <c r="AJ10">
        <f t="shared" si="9"/>
        <v>417478.31372549018</v>
      </c>
    </row>
    <row r="11" spans="1:36" ht="13.5" customHeight="1" x14ac:dyDescent="0.3">
      <c r="A11" s="2" t="s">
        <v>68</v>
      </c>
      <c r="B11" s="3" t="s">
        <v>69</v>
      </c>
      <c r="C11" s="3" t="s">
        <v>70</v>
      </c>
      <c r="D11" s="3" t="s">
        <v>62</v>
      </c>
      <c r="E11" s="3" t="s">
        <v>33</v>
      </c>
      <c r="F11" s="2" t="s">
        <v>34</v>
      </c>
      <c r="G11" s="4">
        <v>45597</v>
      </c>
      <c r="H11" s="4">
        <v>45601</v>
      </c>
      <c r="I11" s="5">
        <v>374686</v>
      </c>
      <c r="J11" s="5">
        <v>0</v>
      </c>
      <c r="K11" s="2" t="s">
        <v>20</v>
      </c>
      <c r="L11" s="3" t="s">
        <v>71</v>
      </c>
      <c r="M11" s="2" t="s">
        <v>22</v>
      </c>
      <c r="N11" s="2">
        <f t="shared" si="0"/>
        <v>4</v>
      </c>
      <c r="P11" t="str">
        <f t="shared" si="1"/>
        <v>Recorded</v>
      </c>
      <c r="S11">
        <f>SUM(S7:S10)</f>
        <v>56</v>
      </c>
      <c r="T11">
        <f>SUM(T7:T10)</f>
        <v>300</v>
      </c>
      <c r="V11" s="3" t="s">
        <v>52</v>
      </c>
      <c r="W11">
        <f>COUNTIF(L:L,V11)</f>
        <v>13</v>
      </c>
      <c r="Z11" s="3" t="s">
        <v>52</v>
      </c>
      <c r="AA11">
        <f t="shared" si="5"/>
        <v>3</v>
      </c>
      <c r="AE11" t="s">
        <v>56</v>
      </c>
      <c r="AF11">
        <f t="shared" si="7"/>
        <v>26118898</v>
      </c>
      <c r="AG11">
        <f t="shared" si="8"/>
        <v>4</v>
      </c>
      <c r="AI11" s="3" t="s">
        <v>50</v>
      </c>
      <c r="AJ11">
        <f t="shared" si="9"/>
        <v>409417.78378378379</v>
      </c>
    </row>
    <row r="12" spans="1:36" ht="13.5" customHeight="1" x14ac:dyDescent="0.3">
      <c r="A12" s="2" t="s">
        <v>72</v>
      </c>
      <c r="B12" s="3" t="s">
        <v>73</v>
      </c>
      <c r="C12" s="3" t="s">
        <v>70</v>
      </c>
      <c r="D12" s="3" t="s">
        <v>40</v>
      </c>
      <c r="E12" s="3" t="s">
        <v>74</v>
      </c>
      <c r="F12" s="2" t="s">
        <v>34</v>
      </c>
      <c r="G12" s="4">
        <v>45507</v>
      </c>
      <c r="H12" s="4"/>
      <c r="I12" s="2"/>
      <c r="J12" s="2"/>
      <c r="K12" s="2" t="s">
        <v>75</v>
      </c>
      <c r="L12" s="3"/>
      <c r="M12" s="2" t="s">
        <v>63</v>
      </c>
      <c r="N12" s="2" t="str">
        <f t="shared" si="0"/>
        <v>Pending</v>
      </c>
      <c r="P12" t="str">
        <f t="shared" si="1"/>
        <v>Missing</v>
      </c>
      <c r="W12">
        <f>SUM(W7:W11)</f>
        <v>56</v>
      </c>
      <c r="AA12">
        <f>SUM(AA7:AA11)</f>
        <v>12</v>
      </c>
      <c r="AF12">
        <f>SUM(AF7:AF11)</f>
        <v>127568115</v>
      </c>
      <c r="AI12" s="3" t="s">
        <v>57</v>
      </c>
      <c r="AJ12">
        <f t="shared" si="9"/>
        <v>451575.23076923075</v>
      </c>
    </row>
    <row r="13" spans="1:36" ht="13.5" customHeight="1" x14ac:dyDescent="0.3">
      <c r="A13" s="2" t="s">
        <v>76</v>
      </c>
      <c r="B13" s="3" t="s">
        <v>77</v>
      </c>
      <c r="C13" s="3" t="s">
        <v>16</v>
      </c>
      <c r="D13" s="3" t="s">
        <v>62</v>
      </c>
      <c r="E13" s="3" t="s">
        <v>74</v>
      </c>
      <c r="F13" s="2" t="s">
        <v>47</v>
      </c>
      <c r="G13" s="4">
        <v>45621</v>
      </c>
      <c r="H13" s="4">
        <v>45628</v>
      </c>
      <c r="I13" s="5">
        <v>432645</v>
      </c>
      <c r="J13" s="5">
        <v>432645</v>
      </c>
      <c r="K13" s="2" t="s">
        <v>67</v>
      </c>
      <c r="L13" s="3"/>
      <c r="M13" s="2" t="s">
        <v>78</v>
      </c>
      <c r="N13" s="2">
        <f t="shared" si="0"/>
        <v>7</v>
      </c>
      <c r="P13" t="str">
        <f t="shared" si="1"/>
        <v>Recorded</v>
      </c>
      <c r="AI13" s="3" t="s">
        <v>74</v>
      </c>
      <c r="AJ13">
        <f t="shared" si="9"/>
        <v>449372.88888888888</v>
      </c>
    </row>
    <row r="14" spans="1:36" ht="13.5" customHeight="1" x14ac:dyDescent="0.3">
      <c r="A14" s="2" t="s">
        <v>79</v>
      </c>
      <c r="B14" s="3" t="s">
        <v>80</v>
      </c>
      <c r="C14" s="3" t="s">
        <v>39</v>
      </c>
      <c r="D14" s="3" t="s">
        <v>62</v>
      </c>
      <c r="E14" s="3" t="s">
        <v>50</v>
      </c>
      <c r="F14" s="2" t="s">
        <v>81</v>
      </c>
      <c r="G14" s="4">
        <v>45435</v>
      </c>
      <c r="H14" s="4">
        <v>45437</v>
      </c>
      <c r="I14" s="2"/>
      <c r="J14" s="5">
        <v>494451</v>
      </c>
      <c r="K14" s="2" t="s">
        <v>67</v>
      </c>
      <c r="L14" s="3"/>
      <c r="M14" s="2" t="s">
        <v>63</v>
      </c>
      <c r="N14" s="2">
        <f t="shared" si="0"/>
        <v>2</v>
      </c>
      <c r="P14" t="str">
        <f t="shared" si="1"/>
        <v>Missing</v>
      </c>
      <c r="AE14" s="8"/>
    </row>
    <row r="15" spans="1:36" ht="13.5" customHeight="1" x14ac:dyDescent="0.3">
      <c r="A15" s="2" t="s">
        <v>82</v>
      </c>
      <c r="B15" s="3" t="s">
        <v>83</v>
      </c>
      <c r="C15" s="3" t="s">
        <v>16</v>
      </c>
      <c r="D15" s="3" t="s">
        <v>26</v>
      </c>
      <c r="E15" s="3" t="s">
        <v>74</v>
      </c>
      <c r="F15" s="2" t="s">
        <v>34</v>
      </c>
      <c r="G15" s="4">
        <v>45643</v>
      </c>
      <c r="H15" s="4"/>
      <c r="I15" s="5">
        <v>239868</v>
      </c>
      <c r="J15" s="2"/>
      <c r="K15" s="2" t="s">
        <v>75</v>
      </c>
      <c r="L15" s="3"/>
      <c r="M15" s="2" t="s">
        <v>53</v>
      </c>
      <c r="N15" s="2" t="str">
        <f t="shared" si="0"/>
        <v>Pending</v>
      </c>
      <c r="P15" t="str">
        <f t="shared" si="1"/>
        <v>Recorded</v>
      </c>
      <c r="AJ15" s="8"/>
    </row>
    <row r="16" spans="1:36" ht="13.5" customHeight="1" x14ac:dyDescent="0.3">
      <c r="A16" s="2" t="s">
        <v>84</v>
      </c>
      <c r="B16" s="3" t="s">
        <v>85</v>
      </c>
      <c r="C16" s="3" t="s">
        <v>70</v>
      </c>
      <c r="D16" s="3" t="s">
        <v>62</v>
      </c>
      <c r="E16" s="3" t="s">
        <v>74</v>
      </c>
      <c r="F16" s="2" t="s">
        <v>34</v>
      </c>
      <c r="G16" s="4">
        <v>45403</v>
      </c>
      <c r="H16" s="4">
        <v>45413</v>
      </c>
      <c r="I16" s="5">
        <v>143233</v>
      </c>
      <c r="J16" s="5">
        <v>76796</v>
      </c>
      <c r="K16" s="2" t="s">
        <v>35</v>
      </c>
      <c r="L16" s="3"/>
      <c r="M16" s="2" t="s">
        <v>36</v>
      </c>
      <c r="N16" s="2">
        <f t="shared" si="0"/>
        <v>10</v>
      </c>
      <c r="P16" t="str">
        <f t="shared" si="1"/>
        <v>Recorded</v>
      </c>
    </row>
    <row r="17" spans="1:16" ht="13.5" customHeight="1" x14ac:dyDescent="0.3">
      <c r="A17" s="2" t="s">
        <v>86</v>
      </c>
      <c r="B17" s="3" t="s">
        <v>87</v>
      </c>
      <c r="C17" s="3" t="s">
        <v>25</v>
      </c>
      <c r="D17" s="3" t="s">
        <v>17</v>
      </c>
      <c r="E17" s="3" t="s">
        <v>57</v>
      </c>
      <c r="F17" s="2" t="s">
        <v>58</v>
      </c>
      <c r="G17" s="4">
        <v>45482</v>
      </c>
      <c r="H17" s="4">
        <v>45502</v>
      </c>
      <c r="I17" s="5">
        <v>478930</v>
      </c>
      <c r="J17" s="5">
        <v>478930</v>
      </c>
      <c r="K17" s="2" t="s">
        <v>67</v>
      </c>
      <c r="L17" s="3"/>
      <c r="M17" s="2" t="s">
        <v>88</v>
      </c>
      <c r="N17" s="2">
        <f t="shared" si="0"/>
        <v>20</v>
      </c>
      <c r="P17" t="str">
        <f t="shared" si="1"/>
        <v>Recorded</v>
      </c>
    </row>
    <row r="18" spans="1:16" ht="13.5" customHeight="1" x14ac:dyDescent="0.3">
      <c r="A18" s="2" t="s">
        <v>89</v>
      </c>
      <c r="B18" s="3" t="s">
        <v>90</v>
      </c>
      <c r="C18" s="3" t="s">
        <v>25</v>
      </c>
      <c r="D18" s="3" t="s">
        <v>40</v>
      </c>
      <c r="E18" s="3" t="s">
        <v>74</v>
      </c>
      <c r="F18" s="2" t="s">
        <v>47</v>
      </c>
      <c r="G18" s="4">
        <v>45473</v>
      </c>
      <c r="H18" s="4"/>
      <c r="I18" s="5">
        <v>249648</v>
      </c>
      <c r="J18" s="2"/>
      <c r="K18" s="2" t="s">
        <v>75</v>
      </c>
      <c r="L18" s="3"/>
      <c r="M18" s="2" t="s">
        <v>78</v>
      </c>
      <c r="N18" s="2" t="str">
        <f t="shared" si="0"/>
        <v>Pending</v>
      </c>
      <c r="P18" t="str">
        <f t="shared" si="1"/>
        <v>Recorded</v>
      </c>
    </row>
    <row r="19" spans="1:16" ht="13.5" customHeight="1" x14ac:dyDescent="0.3">
      <c r="A19" s="2" t="s">
        <v>91</v>
      </c>
      <c r="B19" s="3" t="s">
        <v>92</v>
      </c>
      <c r="C19" s="3" t="s">
        <v>39</v>
      </c>
      <c r="D19" s="3" t="s">
        <v>40</v>
      </c>
      <c r="E19" s="3" t="s">
        <v>57</v>
      </c>
      <c r="F19" s="2" t="s">
        <v>66</v>
      </c>
      <c r="G19" s="4">
        <v>45459</v>
      </c>
      <c r="H19" s="4">
        <v>45479</v>
      </c>
      <c r="I19" s="5">
        <v>352513</v>
      </c>
      <c r="J19" s="5">
        <v>352513</v>
      </c>
      <c r="K19" s="2" t="s">
        <v>67</v>
      </c>
      <c r="L19" s="3"/>
      <c r="M19" s="2" t="s">
        <v>93</v>
      </c>
      <c r="N19" s="2">
        <f t="shared" si="0"/>
        <v>20</v>
      </c>
      <c r="P19" t="str">
        <f t="shared" si="1"/>
        <v>Recorded</v>
      </c>
    </row>
    <row r="20" spans="1:16" ht="13.5" customHeight="1" x14ac:dyDescent="0.3">
      <c r="A20" s="2" t="s">
        <v>94</v>
      </c>
      <c r="B20" s="3" t="s">
        <v>95</v>
      </c>
      <c r="C20" s="3" t="s">
        <v>16</v>
      </c>
      <c r="D20" s="3" t="s">
        <v>17</v>
      </c>
      <c r="E20" s="3" t="s">
        <v>74</v>
      </c>
      <c r="F20" s="2" t="s">
        <v>34</v>
      </c>
      <c r="G20" s="4">
        <v>45606</v>
      </c>
      <c r="H20" s="4">
        <v>45615</v>
      </c>
      <c r="I20" s="5">
        <v>272721</v>
      </c>
      <c r="J20" s="5">
        <v>272721</v>
      </c>
      <c r="K20" s="2" t="s">
        <v>67</v>
      </c>
      <c r="L20" s="3"/>
      <c r="M20" s="2" t="s">
        <v>96</v>
      </c>
      <c r="N20" s="2">
        <f t="shared" si="0"/>
        <v>9</v>
      </c>
      <c r="P20" t="str">
        <f t="shared" si="1"/>
        <v>Recorded</v>
      </c>
    </row>
    <row r="21" spans="1:16" ht="13.5" customHeight="1" x14ac:dyDescent="0.3">
      <c r="A21" s="2" t="s">
        <v>97</v>
      </c>
      <c r="B21" s="3" t="s">
        <v>98</v>
      </c>
      <c r="C21" s="3" t="s">
        <v>16</v>
      </c>
      <c r="D21" s="3" t="s">
        <v>40</v>
      </c>
      <c r="E21" s="3" t="s">
        <v>50</v>
      </c>
      <c r="F21" s="2" t="s">
        <v>81</v>
      </c>
      <c r="G21" s="4">
        <v>45495</v>
      </c>
      <c r="H21" s="4">
        <v>45504</v>
      </c>
      <c r="I21" s="5">
        <v>178703</v>
      </c>
      <c r="J21" s="5">
        <v>142057</v>
      </c>
      <c r="K21" s="2" t="s">
        <v>35</v>
      </c>
      <c r="L21" s="3"/>
      <c r="M21" s="2" t="s">
        <v>78</v>
      </c>
      <c r="N21" s="2">
        <f t="shared" si="0"/>
        <v>9</v>
      </c>
      <c r="P21" t="str">
        <f t="shared" si="1"/>
        <v>Recorded</v>
      </c>
    </row>
    <row r="22" spans="1:16" ht="13.5" customHeight="1" x14ac:dyDescent="0.3">
      <c r="A22" s="2" t="s">
        <v>99</v>
      </c>
      <c r="B22" s="3" t="s">
        <v>100</v>
      </c>
      <c r="C22" s="3" t="s">
        <v>16</v>
      </c>
      <c r="D22" s="3" t="s">
        <v>17</v>
      </c>
      <c r="E22" s="3" t="s">
        <v>74</v>
      </c>
      <c r="F22" s="2" t="s">
        <v>34</v>
      </c>
      <c r="G22" s="4">
        <v>45548</v>
      </c>
      <c r="H22" s="4">
        <v>45554</v>
      </c>
      <c r="I22" s="5">
        <v>649455</v>
      </c>
      <c r="J22" s="5">
        <v>316948</v>
      </c>
      <c r="K22" s="2" t="s">
        <v>35</v>
      </c>
      <c r="L22" s="3"/>
      <c r="M22" s="2" t="s">
        <v>44</v>
      </c>
      <c r="N22" s="2">
        <f t="shared" si="0"/>
        <v>6</v>
      </c>
      <c r="P22" t="str">
        <f t="shared" si="1"/>
        <v>Recorded</v>
      </c>
    </row>
    <row r="23" spans="1:16" ht="13.5" customHeight="1" x14ac:dyDescent="0.3">
      <c r="A23" s="2" t="s">
        <v>101</v>
      </c>
      <c r="B23" s="3" t="s">
        <v>102</v>
      </c>
      <c r="C23" s="3" t="s">
        <v>16</v>
      </c>
      <c r="D23" s="3" t="s">
        <v>40</v>
      </c>
      <c r="E23" s="3" t="s">
        <v>33</v>
      </c>
      <c r="F23" s="2" t="s">
        <v>34</v>
      </c>
      <c r="G23" s="4">
        <v>45333</v>
      </c>
      <c r="H23" s="4">
        <v>45337</v>
      </c>
      <c r="I23" s="5">
        <v>596518</v>
      </c>
      <c r="J23" s="5">
        <v>596518</v>
      </c>
      <c r="K23" s="2" t="s">
        <v>67</v>
      </c>
      <c r="L23" s="3"/>
      <c r="M23" s="2" t="s">
        <v>53</v>
      </c>
      <c r="N23" s="2">
        <f t="shared" si="0"/>
        <v>4</v>
      </c>
      <c r="P23" t="str">
        <f t="shared" si="1"/>
        <v>Recorded</v>
      </c>
    </row>
    <row r="24" spans="1:16" ht="13.5" customHeight="1" x14ac:dyDescent="0.3">
      <c r="A24" s="2" t="s">
        <v>103</v>
      </c>
      <c r="B24" s="3" t="s">
        <v>104</v>
      </c>
      <c r="C24" s="3" t="s">
        <v>25</v>
      </c>
      <c r="D24" s="3" t="s">
        <v>17</v>
      </c>
      <c r="E24" s="3" t="s">
        <v>18</v>
      </c>
      <c r="F24" s="2" t="s">
        <v>105</v>
      </c>
      <c r="G24" s="4">
        <v>45369</v>
      </c>
      <c r="H24" s="4">
        <v>45379</v>
      </c>
      <c r="I24" s="5">
        <v>331588</v>
      </c>
      <c r="J24" s="5">
        <v>0</v>
      </c>
      <c r="K24" s="2" t="s">
        <v>20</v>
      </c>
      <c r="L24" s="3" t="s">
        <v>106</v>
      </c>
      <c r="M24" s="2" t="s">
        <v>36</v>
      </c>
      <c r="N24" s="2">
        <f t="shared" si="0"/>
        <v>10</v>
      </c>
      <c r="P24" t="str">
        <f t="shared" si="1"/>
        <v>Recorded</v>
      </c>
    </row>
    <row r="25" spans="1:16" ht="13.5" customHeight="1" x14ac:dyDescent="0.3">
      <c r="A25" s="2" t="s">
        <v>107</v>
      </c>
      <c r="B25" s="3" t="s">
        <v>108</v>
      </c>
      <c r="C25" s="3" t="s">
        <v>70</v>
      </c>
      <c r="D25" s="3" t="s">
        <v>62</v>
      </c>
      <c r="E25" s="3" t="s">
        <v>41</v>
      </c>
      <c r="F25" s="2" t="s">
        <v>42</v>
      </c>
      <c r="G25" s="4">
        <v>45571</v>
      </c>
      <c r="H25" s="4">
        <v>45576</v>
      </c>
      <c r="I25" s="2"/>
      <c r="J25" s="5">
        <v>0</v>
      </c>
      <c r="K25" s="2" t="s">
        <v>20</v>
      </c>
      <c r="L25" s="3" t="s">
        <v>71</v>
      </c>
      <c r="M25" s="2" t="s">
        <v>36</v>
      </c>
      <c r="N25" s="2">
        <f t="shared" si="0"/>
        <v>5</v>
      </c>
      <c r="P25" t="str">
        <f t="shared" si="1"/>
        <v>Missing</v>
      </c>
    </row>
    <row r="26" spans="1:16" ht="13.5" customHeight="1" x14ac:dyDescent="0.3">
      <c r="A26" s="2" t="s">
        <v>109</v>
      </c>
      <c r="B26" s="3" t="s">
        <v>110</v>
      </c>
      <c r="C26" s="3" t="s">
        <v>25</v>
      </c>
      <c r="D26" s="3" t="s">
        <v>40</v>
      </c>
      <c r="E26" s="3" t="s">
        <v>57</v>
      </c>
      <c r="F26" s="2" t="s">
        <v>58</v>
      </c>
      <c r="G26" s="4">
        <v>45605</v>
      </c>
      <c r="H26" s="4">
        <v>45618</v>
      </c>
      <c r="I26" s="5">
        <v>666971</v>
      </c>
      <c r="J26" s="5">
        <v>0</v>
      </c>
      <c r="K26" s="2" t="s">
        <v>20</v>
      </c>
      <c r="L26" s="3" t="s">
        <v>21</v>
      </c>
      <c r="M26" s="2" t="s">
        <v>36</v>
      </c>
      <c r="N26" s="2">
        <f t="shared" si="0"/>
        <v>13</v>
      </c>
      <c r="P26" t="str">
        <f t="shared" si="1"/>
        <v>Recorded</v>
      </c>
    </row>
    <row r="27" spans="1:16" ht="13.5" customHeight="1" x14ac:dyDescent="0.3">
      <c r="A27" s="2" t="s">
        <v>111</v>
      </c>
      <c r="B27" s="3" t="s">
        <v>112</v>
      </c>
      <c r="C27" s="3" t="s">
        <v>70</v>
      </c>
      <c r="D27" s="3" t="s">
        <v>40</v>
      </c>
      <c r="E27" s="3" t="s">
        <v>57</v>
      </c>
      <c r="F27" s="2" t="s">
        <v>113</v>
      </c>
      <c r="G27" s="4">
        <v>45607</v>
      </c>
      <c r="H27" s="4">
        <v>45616</v>
      </c>
      <c r="I27" s="5">
        <v>445976</v>
      </c>
      <c r="J27" s="5">
        <v>0</v>
      </c>
      <c r="K27" s="2" t="s">
        <v>20</v>
      </c>
      <c r="L27" s="3" t="s">
        <v>114</v>
      </c>
      <c r="M27" s="2" t="s">
        <v>22</v>
      </c>
      <c r="N27" s="2">
        <f t="shared" si="0"/>
        <v>9</v>
      </c>
      <c r="P27" t="str">
        <f t="shared" si="1"/>
        <v>Recorded</v>
      </c>
    </row>
    <row r="28" spans="1:16" ht="13.5" customHeight="1" x14ac:dyDescent="0.3">
      <c r="A28" s="2" t="s">
        <v>115</v>
      </c>
      <c r="B28" s="3" t="s">
        <v>116</v>
      </c>
      <c r="C28" s="3" t="s">
        <v>39</v>
      </c>
      <c r="D28" s="3" t="s">
        <v>40</v>
      </c>
      <c r="E28" s="3" t="s">
        <v>33</v>
      </c>
      <c r="F28" s="2" t="s">
        <v>47</v>
      </c>
      <c r="G28" s="4">
        <v>45472</v>
      </c>
      <c r="H28" s="4">
        <v>45474</v>
      </c>
      <c r="I28" s="5">
        <v>37135</v>
      </c>
      <c r="J28" s="5">
        <v>37135</v>
      </c>
      <c r="K28" s="2" t="s">
        <v>67</v>
      </c>
      <c r="L28" s="3"/>
      <c r="M28" s="2" t="s">
        <v>117</v>
      </c>
      <c r="N28" s="2">
        <f t="shared" si="0"/>
        <v>2</v>
      </c>
      <c r="P28" t="str">
        <f t="shared" si="1"/>
        <v>Recorded</v>
      </c>
    </row>
    <row r="29" spans="1:16" ht="13.5" customHeight="1" x14ac:dyDescent="0.3">
      <c r="A29" s="2" t="s">
        <v>118</v>
      </c>
      <c r="B29" s="3" t="s">
        <v>119</v>
      </c>
      <c r="C29" s="3" t="s">
        <v>25</v>
      </c>
      <c r="D29" s="3" t="s">
        <v>56</v>
      </c>
      <c r="E29" s="3" t="s">
        <v>27</v>
      </c>
      <c r="F29" s="2" t="s">
        <v>120</v>
      </c>
      <c r="G29" s="4">
        <v>45432</v>
      </c>
      <c r="H29" s="4">
        <v>45450</v>
      </c>
      <c r="I29" s="5">
        <v>784369</v>
      </c>
      <c r="J29" s="5">
        <v>784369</v>
      </c>
      <c r="K29" s="2" t="s">
        <v>67</v>
      </c>
      <c r="L29" s="3"/>
      <c r="M29" s="2" t="s">
        <v>121</v>
      </c>
      <c r="N29" s="2">
        <f t="shared" si="0"/>
        <v>18</v>
      </c>
      <c r="P29" t="str">
        <f t="shared" si="1"/>
        <v>Recorded</v>
      </c>
    </row>
    <row r="30" spans="1:16" ht="13.5" customHeight="1" x14ac:dyDescent="0.3">
      <c r="A30" s="2" t="s">
        <v>122</v>
      </c>
      <c r="B30" s="3" t="s">
        <v>123</v>
      </c>
      <c r="C30" s="3" t="s">
        <v>16</v>
      </c>
      <c r="D30" s="3" t="s">
        <v>26</v>
      </c>
      <c r="E30" s="3" t="s">
        <v>74</v>
      </c>
      <c r="F30" s="2" t="s">
        <v>34</v>
      </c>
      <c r="G30" s="4">
        <v>45482</v>
      </c>
      <c r="H30" s="4">
        <v>45484</v>
      </c>
      <c r="I30" s="5">
        <v>833593</v>
      </c>
      <c r="J30" s="5">
        <v>0</v>
      </c>
      <c r="K30" s="2" t="s">
        <v>20</v>
      </c>
      <c r="L30" s="3" t="s">
        <v>21</v>
      </c>
      <c r="M30" s="2" t="s">
        <v>96</v>
      </c>
      <c r="N30" s="2">
        <f t="shared" si="0"/>
        <v>2</v>
      </c>
      <c r="P30" t="str">
        <f t="shared" si="1"/>
        <v>Recorded</v>
      </c>
    </row>
    <row r="31" spans="1:16" ht="13.5" customHeight="1" x14ac:dyDescent="0.3">
      <c r="A31" s="2" t="s">
        <v>124</v>
      </c>
      <c r="B31" s="3" t="s">
        <v>125</v>
      </c>
      <c r="C31" s="3" t="s">
        <v>25</v>
      </c>
      <c r="D31" s="3" t="s">
        <v>17</v>
      </c>
      <c r="E31" s="3" t="s">
        <v>41</v>
      </c>
      <c r="F31" s="2" t="s">
        <v>42</v>
      </c>
      <c r="G31" s="4">
        <v>45608</v>
      </c>
      <c r="H31" s="4">
        <v>45615</v>
      </c>
      <c r="I31" s="5">
        <v>835385</v>
      </c>
      <c r="J31" s="5">
        <v>0</v>
      </c>
      <c r="K31" s="2" t="s">
        <v>20</v>
      </c>
      <c r="L31" s="3" t="s">
        <v>71</v>
      </c>
      <c r="M31" s="2" t="s">
        <v>88</v>
      </c>
      <c r="N31" s="2">
        <f t="shared" si="0"/>
        <v>7</v>
      </c>
      <c r="P31" t="str">
        <f t="shared" si="1"/>
        <v>Recorded</v>
      </c>
    </row>
    <row r="32" spans="1:16" ht="13.5" customHeight="1" x14ac:dyDescent="0.3">
      <c r="A32" s="2" t="s">
        <v>126</v>
      </c>
      <c r="B32" s="3" t="s">
        <v>127</v>
      </c>
      <c r="C32" s="3" t="s">
        <v>25</v>
      </c>
      <c r="D32" s="3" t="s">
        <v>56</v>
      </c>
      <c r="E32" s="3" t="s">
        <v>27</v>
      </c>
      <c r="F32" s="2" t="s">
        <v>120</v>
      </c>
      <c r="G32" s="4">
        <v>45644</v>
      </c>
      <c r="H32" s="4">
        <v>45651</v>
      </c>
      <c r="I32" s="5">
        <v>367351</v>
      </c>
      <c r="J32" s="5">
        <v>367351</v>
      </c>
      <c r="K32" s="2" t="s">
        <v>67</v>
      </c>
      <c r="L32" s="3"/>
      <c r="M32" s="2" t="s">
        <v>44</v>
      </c>
      <c r="N32" s="2">
        <f t="shared" si="0"/>
        <v>7</v>
      </c>
      <c r="P32" t="str">
        <f t="shared" si="1"/>
        <v>Recorded</v>
      </c>
    </row>
    <row r="33" spans="1:16" ht="13.5" customHeight="1" x14ac:dyDescent="0.3">
      <c r="A33" s="2" t="s">
        <v>128</v>
      </c>
      <c r="B33" s="3" t="s">
        <v>129</v>
      </c>
      <c r="C33" s="3" t="s">
        <v>39</v>
      </c>
      <c r="D33" s="3" t="s">
        <v>62</v>
      </c>
      <c r="E33" s="3" t="s">
        <v>41</v>
      </c>
      <c r="F33" s="2" t="s">
        <v>42</v>
      </c>
      <c r="G33" s="4">
        <v>45452</v>
      </c>
      <c r="H33" s="4">
        <v>45466</v>
      </c>
      <c r="I33" s="5">
        <v>110620</v>
      </c>
      <c r="J33" s="5">
        <v>110620</v>
      </c>
      <c r="K33" s="2" t="s">
        <v>67</v>
      </c>
      <c r="L33" s="3"/>
      <c r="M33" s="2" t="s">
        <v>78</v>
      </c>
      <c r="N33" s="2">
        <f t="shared" si="0"/>
        <v>14</v>
      </c>
      <c r="P33" t="str">
        <f t="shared" si="1"/>
        <v>Recorded</v>
      </c>
    </row>
    <row r="34" spans="1:16" ht="13.5" customHeight="1" x14ac:dyDescent="0.3">
      <c r="A34" s="2" t="s">
        <v>130</v>
      </c>
      <c r="B34" s="3" t="s">
        <v>131</v>
      </c>
      <c r="C34" s="3" t="s">
        <v>70</v>
      </c>
      <c r="D34" s="3" t="s">
        <v>40</v>
      </c>
      <c r="E34" s="3" t="s">
        <v>33</v>
      </c>
      <c r="F34" s="2" t="s">
        <v>34</v>
      </c>
      <c r="G34" s="4">
        <v>45584</v>
      </c>
      <c r="H34" s="4">
        <v>45586</v>
      </c>
      <c r="I34" s="5">
        <v>398487</v>
      </c>
      <c r="J34" s="5">
        <v>0</v>
      </c>
      <c r="K34" s="2" t="s">
        <v>20</v>
      </c>
      <c r="L34" s="3" t="s">
        <v>52</v>
      </c>
      <c r="M34" s="2" t="s">
        <v>132</v>
      </c>
      <c r="N34" s="2">
        <f t="shared" si="0"/>
        <v>2</v>
      </c>
      <c r="P34" t="str">
        <f t="shared" si="1"/>
        <v>Recorded</v>
      </c>
    </row>
    <row r="35" spans="1:16" ht="13.5" customHeight="1" x14ac:dyDescent="0.3">
      <c r="A35" s="2" t="s">
        <v>133</v>
      </c>
      <c r="B35" s="3" t="s">
        <v>134</v>
      </c>
      <c r="C35" s="3" t="s">
        <v>39</v>
      </c>
      <c r="D35" s="3" t="s">
        <v>40</v>
      </c>
      <c r="E35" s="3" t="s">
        <v>50</v>
      </c>
      <c r="F35" s="2" t="s">
        <v>81</v>
      </c>
      <c r="G35" s="4">
        <v>45557</v>
      </c>
      <c r="H35" s="4">
        <v>45575</v>
      </c>
      <c r="I35" s="5">
        <v>486973</v>
      </c>
      <c r="J35" s="5">
        <v>486973</v>
      </c>
      <c r="K35" s="2" t="s">
        <v>67</v>
      </c>
      <c r="L35" s="3"/>
      <c r="M35" s="2" t="s">
        <v>121</v>
      </c>
      <c r="N35" s="2">
        <f t="shared" si="0"/>
        <v>18</v>
      </c>
      <c r="P35" t="str">
        <f t="shared" si="1"/>
        <v>Recorded</v>
      </c>
    </row>
    <row r="36" spans="1:16" ht="13.5" customHeight="1" x14ac:dyDescent="0.3">
      <c r="A36" s="2" t="s">
        <v>135</v>
      </c>
      <c r="B36" s="3" t="s">
        <v>136</v>
      </c>
      <c r="C36" s="3" t="s">
        <v>70</v>
      </c>
      <c r="D36" s="3" t="s">
        <v>17</v>
      </c>
      <c r="E36" s="3" t="s">
        <v>57</v>
      </c>
      <c r="F36" s="2" t="s">
        <v>113</v>
      </c>
      <c r="G36" s="4">
        <v>45640</v>
      </c>
      <c r="H36" s="4">
        <v>45659</v>
      </c>
      <c r="I36" s="5">
        <v>496218</v>
      </c>
      <c r="J36" s="5">
        <v>496218</v>
      </c>
      <c r="K36" s="2" t="s">
        <v>67</v>
      </c>
      <c r="L36" s="3"/>
      <c r="M36" s="2" t="s">
        <v>53</v>
      </c>
      <c r="N36" s="2">
        <f t="shared" si="0"/>
        <v>19</v>
      </c>
      <c r="P36" t="str">
        <f t="shared" si="1"/>
        <v>Recorded</v>
      </c>
    </row>
    <row r="37" spans="1:16" ht="13.5" customHeight="1" x14ac:dyDescent="0.3">
      <c r="A37" s="2" t="s">
        <v>137</v>
      </c>
      <c r="B37" s="3" t="s">
        <v>138</v>
      </c>
      <c r="C37" s="3" t="s">
        <v>25</v>
      </c>
      <c r="D37" s="3" t="s">
        <v>56</v>
      </c>
      <c r="E37" s="3" t="s">
        <v>50</v>
      </c>
      <c r="F37" s="2" t="s">
        <v>51</v>
      </c>
      <c r="G37" s="4">
        <v>45548</v>
      </c>
      <c r="H37" s="4">
        <v>45565</v>
      </c>
      <c r="I37" s="2"/>
      <c r="J37" s="5">
        <v>556936</v>
      </c>
      <c r="K37" s="2" t="s">
        <v>67</v>
      </c>
      <c r="L37" s="3"/>
      <c r="M37" s="2" t="s">
        <v>121</v>
      </c>
      <c r="N37" s="2">
        <f t="shared" si="0"/>
        <v>17</v>
      </c>
      <c r="P37" t="str">
        <f t="shared" si="1"/>
        <v>Missing</v>
      </c>
    </row>
    <row r="38" spans="1:16" ht="13.5" customHeight="1" x14ac:dyDescent="0.3">
      <c r="A38" s="2" t="s">
        <v>139</v>
      </c>
      <c r="B38" s="3" t="s">
        <v>140</v>
      </c>
      <c r="C38" s="3" t="s">
        <v>25</v>
      </c>
      <c r="D38" s="3" t="s">
        <v>62</v>
      </c>
      <c r="E38" s="3" t="s">
        <v>33</v>
      </c>
      <c r="F38" s="2" t="s">
        <v>47</v>
      </c>
      <c r="G38" s="4">
        <v>45417</v>
      </c>
      <c r="H38" s="4"/>
      <c r="I38" s="5">
        <v>915513</v>
      </c>
      <c r="J38" s="2"/>
      <c r="K38" s="2" t="s">
        <v>75</v>
      </c>
      <c r="L38" s="3"/>
      <c r="M38" s="2" t="s">
        <v>88</v>
      </c>
      <c r="N38" s="2" t="str">
        <f t="shared" si="0"/>
        <v>Pending</v>
      </c>
      <c r="P38" t="str">
        <f t="shared" si="1"/>
        <v>Recorded</v>
      </c>
    </row>
    <row r="39" spans="1:16" ht="13.5" customHeight="1" x14ac:dyDescent="0.3">
      <c r="A39" s="2" t="s">
        <v>141</v>
      </c>
      <c r="B39" s="3" t="s">
        <v>142</v>
      </c>
      <c r="C39" s="3" t="s">
        <v>25</v>
      </c>
      <c r="D39" s="3" t="s">
        <v>40</v>
      </c>
      <c r="E39" s="3" t="s">
        <v>41</v>
      </c>
      <c r="F39" s="2" t="s">
        <v>143</v>
      </c>
      <c r="G39" s="4">
        <v>45563</v>
      </c>
      <c r="H39" s="4">
        <v>45567</v>
      </c>
      <c r="I39" s="5">
        <v>711834</v>
      </c>
      <c r="J39" s="5">
        <v>711834</v>
      </c>
      <c r="K39" s="2" t="s">
        <v>67</v>
      </c>
      <c r="L39" s="3"/>
      <c r="M39" s="2" t="s">
        <v>144</v>
      </c>
      <c r="N39" s="2">
        <f t="shared" si="0"/>
        <v>4</v>
      </c>
      <c r="P39" t="str">
        <f t="shared" si="1"/>
        <v>Recorded</v>
      </c>
    </row>
    <row r="40" spans="1:16" ht="13.5" customHeight="1" x14ac:dyDescent="0.3">
      <c r="A40" s="2" t="s">
        <v>145</v>
      </c>
      <c r="B40" s="3" t="s">
        <v>146</v>
      </c>
      <c r="C40" s="3" t="s">
        <v>25</v>
      </c>
      <c r="D40" s="3" t="s">
        <v>62</v>
      </c>
      <c r="E40" s="3" t="s">
        <v>18</v>
      </c>
      <c r="F40" s="2" t="s">
        <v>19</v>
      </c>
      <c r="G40" s="4">
        <v>45559</v>
      </c>
      <c r="H40" s="4">
        <v>45577</v>
      </c>
      <c r="I40" s="5">
        <v>702262</v>
      </c>
      <c r="J40" s="5">
        <v>702262</v>
      </c>
      <c r="K40" s="2" t="s">
        <v>67</v>
      </c>
      <c r="L40" s="3"/>
      <c r="M40" s="2" t="s">
        <v>22</v>
      </c>
      <c r="N40" s="2">
        <f t="shared" si="0"/>
        <v>18</v>
      </c>
      <c r="P40" t="str">
        <f t="shared" si="1"/>
        <v>Recorded</v>
      </c>
    </row>
    <row r="41" spans="1:16" ht="13.5" customHeight="1" x14ac:dyDescent="0.3">
      <c r="A41" s="2" t="s">
        <v>147</v>
      </c>
      <c r="B41" s="3" t="s">
        <v>148</v>
      </c>
      <c r="C41" s="3" t="s">
        <v>39</v>
      </c>
      <c r="D41" s="3" t="s">
        <v>62</v>
      </c>
      <c r="E41" s="3" t="s">
        <v>18</v>
      </c>
      <c r="F41" s="2" t="s">
        <v>105</v>
      </c>
      <c r="G41" s="4">
        <v>45524</v>
      </c>
      <c r="H41" s="4">
        <v>45533</v>
      </c>
      <c r="I41" s="5">
        <v>446053</v>
      </c>
      <c r="J41" s="5">
        <v>446053</v>
      </c>
      <c r="K41" s="2" t="s">
        <v>67</v>
      </c>
      <c r="L41" s="3"/>
      <c r="M41" s="2" t="s">
        <v>96</v>
      </c>
      <c r="N41" s="2">
        <f t="shared" si="0"/>
        <v>9</v>
      </c>
      <c r="P41" t="str">
        <f t="shared" si="1"/>
        <v>Recorded</v>
      </c>
    </row>
    <row r="42" spans="1:16" ht="13.5" customHeight="1" x14ac:dyDescent="0.3">
      <c r="A42" s="2" t="s">
        <v>149</v>
      </c>
      <c r="B42" s="3" t="s">
        <v>150</v>
      </c>
      <c r="C42" s="3" t="s">
        <v>39</v>
      </c>
      <c r="D42" s="3" t="s">
        <v>17</v>
      </c>
      <c r="E42" s="3" t="s">
        <v>41</v>
      </c>
      <c r="F42" s="2" t="s">
        <v>42</v>
      </c>
      <c r="G42" s="4">
        <v>45376</v>
      </c>
      <c r="H42" s="4">
        <v>45390</v>
      </c>
      <c r="I42" s="5">
        <v>27407</v>
      </c>
      <c r="J42" s="5">
        <v>21070</v>
      </c>
      <c r="K42" s="2" t="s">
        <v>35</v>
      </c>
      <c r="L42" s="3"/>
      <c r="M42" s="2" t="s">
        <v>132</v>
      </c>
      <c r="N42" s="2">
        <f t="shared" si="0"/>
        <v>14</v>
      </c>
      <c r="P42" t="str">
        <f t="shared" si="1"/>
        <v>Recorded</v>
      </c>
    </row>
    <row r="43" spans="1:16" ht="13.5" customHeight="1" x14ac:dyDescent="0.3">
      <c r="A43" s="2" t="s">
        <v>151</v>
      </c>
      <c r="B43" s="3" t="s">
        <v>152</v>
      </c>
      <c r="C43" s="3" t="s">
        <v>39</v>
      </c>
      <c r="D43" s="3" t="s">
        <v>26</v>
      </c>
      <c r="E43" s="3" t="s">
        <v>57</v>
      </c>
      <c r="F43" s="2" t="s">
        <v>58</v>
      </c>
      <c r="G43" s="4">
        <v>45626</v>
      </c>
      <c r="H43" s="4">
        <v>45637</v>
      </c>
      <c r="I43" s="5">
        <v>790561</v>
      </c>
      <c r="J43" s="5">
        <v>422007</v>
      </c>
      <c r="K43" s="2" t="s">
        <v>35</v>
      </c>
      <c r="L43" s="3"/>
      <c r="M43" s="2" t="s">
        <v>78</v>
      </c>
      <c r="N43" s="2">
        <f t="shared" si="0"/>
        <v>11</v>
      </c>
      <c r="P43" t="str">
        <f t="shared" si="1"/>
        <v>Recorded</v>
      </c>
    </row>
    <row r="44" spans="1:16" ht="13.5" customHeight="1" x14ac:dyDescent="0.3">
      <c r="A44" s="2" t="s">
        <v>153</v>
      </c>
      <c r="B44" s="3" t="s">
        <v>154</v>
      </c>
      <c r="C44" s="3" t="s">
        <v>25</v>
      </c>
      <c r="D44" s="3" t="s">
        <v>17</v>
      </c>
      <c r="E44" s="3" t="s">
        <v>57</v>
      </c>
      <c r="F44" s="2" t="s">
        <v>113</v>
      </c>
      <c r="G44" s="4">
        <v>45603</v>
      </c>
      <c r="H44" s="4">
        <v>45607</v>
      </c>
      <c r="I44" s="5">
        <v>922767</v>
      </c>
      <c r="J44" s="5">
        <v>922767</v>
      </c>
      <c r="K44" s="2" t="s">
        <v>67</v>
      </c>
      <c r="L44" s="3"/>
      <c r="M44" s="2" t="s">
        <v>59</v>
      </c>
      <c r="N44" s="2">
        <f t="shared" si="0"/>
        <v>4</v>
      </c>
      <c r="P44" t="str">
        <f t="shared" si="1"/>
        <v>Recorded</v>
      </c>
    </row>
    <row r="45" spans="1:16" ht="13.5" customHeight="1" x14ac:dyDescent="0.3">
      <c r="A45" s="2" t="s">
        <v>155</v>
      </c>
      <c r="B45" s="3" t="s">
        <v>156</v>
      </c>
      <c r="C45" s="3" t="s">
        <v>25</v>
      </c>
      <c r="D45" s="3" t="s">
        <v>17</v>
      </c>
      <c r="E45" s="3" t="s">
        <v>57</v>
      </c>
      <c r="F45" s="2" t="s">
        <v>66</v>
      </c>
      <c r="G45" s="4">
        <v>45458</v>
      </c>
      <c r="H45" s="4">
        <v>45463</v>
      </c>
      <c r="I45" s="5">
        <v>882716</v>
      </c>
      <c r="J45" s="5">
        <v>882716</v>
      </c>
      <c r="K45" s="2" t="s">
        <v>67</v>
      </c>
      <c r="L45" s="3"/>
      <c r="M45" s="2" t="s">
        <v>44</v>
      </c>
      <c r="N45" s="2">
        <f t="shared" si="0"/>
        <v>5</v>
      </c>
      <c r="P45" t="str">
        <f t="shared" si="1"/>
        <v>Recorded</v>
      </c>
    </row>
    <row r="46" spans="1:16" ht="13.5" customHeight="1" x14ac:dyDescent="0.3">
      <c r="A46" s="2" t="s">
        <v>157</v>
      </c>
      <c r="B46" s="3" t="s">
        <v>158</v>
      </c>
      <c r="C46" s="3" t="s">
        <v>16</v>
      </c>
      <c r="D46" s="3" t="s">
        <v>62</v>
      </c>
      <c r="E46" s="3" t="s">
        <v>41</v>
      </c>
      <c r="F46" s="2" t="s">
        <v>143</v>
      </c>
      <c r="G46" s="4">
        <v>45433</v>
      </c>
      <c r="H46" s="4">
        <v>45447</v>
      </c>
      <c r="I46" s="5">
        <v>152781</v>
      </c>
      <c r="J46" s="5">
        <v>0</v>
      </c>
      <c r="K46" s="2" t="s">
        <v>20</v>
      </c>
      <c r="L46" s="3" t="s">
        <v>21</v>
      </c>
      <c r="M46" s="2" t="s">
        <v>36</v>
      </c>
      <c r="N46" s="2">
        <f t="shared" si="0"/>
        <v>14</v>
      </c>
      <c r="P46" t="str">
        <f t="shared" si="1"/>
        <v>Recorded</v>
      </c>
    </row>
    <row r="47" spans="1:16" ht="13.5" customHeight="1" x14ac:dyDescent="0.3">
      <c r="A47" s="2" t="s">
        <v>159</v>
      </c>
      <c r="B47" s="3" t="s">
        <v>160</v>
      </c>
      <c r="C47" s="3" t="s">
        <v>70</v>
      </c>
      <c r="D47" s="3" t="s">
        <v>62</v>
      </c>
      <c r="E47" s="3" t="s">
        <v>74</v>
      </c>
      <c r="F47" s="2" t="s">
        <v>47</v>
      </c>
      <c r="G47" s="4">
        <v>45639</v>
      </c>
      <c r="H47" s="4">
        <v>45648</v>
      </c>
      <c r="I47" s="5">
        <v>666767</v>
      </c>
      <c r="J47" s="5">
        <v>0</v>
      </c>
      <c r="K47" s="2" t="s">
        <v>20</v>
      </c>
      <c r="L47" s="3" t="s">
        <v>71</v>
      </c>
      <c r="M47" s="2" t="s">
        <v>144</v>
      </c>
      <c r="N47" s="2">
        <f t="shared" si="0"/>
        <v>9</v>
      </c>
      <c r="P47" t="str">
        <f t="shared" si="1"/>
        <v>Recorded</v>
      </c>
    </row>
    <row r="48" spans="1:16" ht="13.5" customHeight="1" x14ac:dyDescent="0.3">
      <c r="A48" s="2" t="s">
        <v>161</v>
      </c>
      <c r="B48" s="3" t="s">
        <v>162</v>
      </c>
      <c r="C48" s="3" t="s">
        <v>39</v>
      </c>
      <c r="D48" s="3" t="s">
        <v>17</v>
      </c>
      <c r="E48" s="3" t="s">
        <v>33</v>
      </c>
      <c r="F48" s="2" t="s">
        <v>163</v>
      </c>
      <c r="G48" s="4">
        <v>45380</v>
      </c>
      <c r="H48" s="4">
        <v>45384</v>
      </c>
      <c r="I48" s="5">
        <v>768420</v>
      </c>
      <c r="J48" s="5">
        <v>768420</v>
      </c>
      <c r="K48" s="2" t="s">
        <v>67</v>
      </c>
      <c r="L48" s="3"/>
      <c r="M48" s="2" t="s">
        <v>53</v>
      </c>
      <c r="N48" s="2">
        <f t="shared" si="0"/>
        <v>4</v>
      </c>
      <c r="P48" t="str">
        <f t="shared" si="1"/>
        <v>Recorded</v>
      </c>
    </row>
    <row r="49" spans="1:16" ht="13.5" customHeight="1" x14ac:dyDescent="0.3">
      <c r="A49" s="2" t="s">
        <v>164</v>
      </c>
      <c r="B49" s="3" t="s">
        <v>165</v>
      </c>
      <c r="C49" s="3" t="s">
        <v>25</v>
      </c>
      <c r="D49" s="3" t="s">
        <v>56</v>
      </c>
      <c r="E49" s="3" t="s">
        <v>27</v>
      </c>
      <c r="F49" s="2" t="s">
        <v>28</v>
      </c>
      <c r="G49" s="4">
        <v>45421</v>
      </c>
      <c r="H49" s="4">
        <v>45446</v>
      </c>
      <c r="I49" s="5">
        <v>668368</v>
      </c>
      <c r="J49" s="5">
        <v>486772</v>
      </c>
      <c r="K49" s="2" t="s">
        <v>35</v>
      </c>
      <c r="L49" s="3"/>
      <c r="M49" s="2" t="s">
        <v>144</v>
      </c>
      <c r="N49" s="2">
        <f t="shared" si="0"/>
        <v>25</v>
      </c>
      <c r="P49" t="str">
        <f t="shared" si="1"/>
        <v>Recorded</v>
      </c>
    </row>
    <row r="50" spans="1:16" ht="13.5" customHeight="1" x14ac:dyDescent="0.3">
      <c r="A50" s="2" t="s">
        <v>166</v>
      </c>
      <c r="B50" s="3" t="s">
        <v>167</v>
      </c>
      <c r="C50" s="3" t="s">
        <v>16</v>
      </c>
      <c r="D50" s="3" t="s">
        <v>62</v>
      </c>
      <c r="E50" s="3" t="s">
        <v>33</v>
      </c>
      <c r="F50" s="2" t="s">
        <v>34</v>
      </c>
      <c r="G50" s="4">
        <v>45458</v>
      </c>
      <c r="H50" s="4"/>
      <c r="I50" s="5">
        <v>155221</v>
      </c>
      <c r="J50" s="2"/>
      <c r="K50" s="2" t="s">
        <v>75</v>
      </c>
      <c r="L50" s="3"/>
      <c r="M50" s="2" t="s">
        <v>53</v>
      </c>
      <c r="N50" s="2" t="str">
        <f t="shared" si="0"/>
        <v>Pending</v>
      </c>
      <c r="P50" t="str">
        <f t="shared" si="1"/>
        <v>Recorded</v>
      </c>
    </row>
    <row r="51" spans="1:16" ht="13.5" customHeight="1" x14ac:dyDescent="0.3">
      <c r="A51" s="2" t="s">
        <v>168</v>
      </c>
      <c r="B51" s="3" t="s">
        <v>169</v>
      </c>
      <c r="C51" s="3" t="s">
        <v>16</v>
      </c>
      <c r="D51" s="3" t="s">
        <v>40</v>
      </c>
      <c r="E51" s="3" t="s">
        <v>18</v>
      </c>
      <c r="F51" s="2" t="s">
        <v>105</v>
      </c>
      <c r="G51" s="4">
        <v>45307</v>
      </c>
      <c r="H51" s="4">
        <v>45319</v>
      </c>
      <c r="I51" s="5">
        <v>732517</v>
      </c>
      <c r="J51" s="5">
        <v>732517</v>
      </c>
      <c r="K51" s="2" t="s">
        <v>67</v>
      </c>
      <c r="L51" s="3"/>
      <c r="M51" s="2" t="s">
        <v>96</v>
      </c>
      <c r="N51" s="2">
        <f t="shared" si="0"/>
        <v>12</v>
      </c>
      <c r="P51" t="str">
        <f t="shared" si="1"/>
        <v>Recorded</v>
      </c>
    </row>
    <row r="52" spans="1:16" ht="13.5" customHeight="1" x14ac:dyDescent="0.3">
      <c r="A52" s="2" t="s">
        <v>170</v>
      </c>
      <c r="B52" s="3" t="s">
        <v>171</v>
      </c>
      <c r="C52" s="3" t="s">
        <v>39</v>
      </c>
      <c r="D52" s="3" t="s">
        <v>26</v>
      </c>
      <c r="E52" s="3" t="s">
        <v>33</v>
      </c>
      <c r="F52" s="2" t="s">
        <v>47</v>
      </c>
      <c r="G52" s="4">
        <v>45523</v>
      </c>
      <c r="H52" s="4">
        <v>45524</v>
      </c>
      <c r="I52" s="5">
        <v>666261</v>
      </c>
      <c r="J52" s="5">
        <v>0</v>
      </c>
      <c r="K52" s="2" t="s">
        <v>20</v>
      </c>
      <c r="L52" s="3" t="s">
        <v>52</v>
      </c>
      <c r="M52" s="2" t="s">
        <v>121</v>
      </c>
      <c r="N52" s="2">
        <f t="shared" si="0"/>
        <v>1</v>
      </c>
      <c r="P52" t="str">
        <f t="shared" si="1"/>
        <v>Recorded</v>
      </c>
    </row>
    <row r="53" spans="1:16" ht="13.5" customHeight="1" x14ac:dyDescent="0.3">
      <c r="A53" s="2" t="s">
        <v>172</v>
      </c>
      <c r="B53" s="3" t="s">
        <v>173</v>
      </c>
      <c r="C53" s="3" t="s">
        <v>16</v>
      </c>
      <c r="D53" s="3" t="s">
        <v>17</v>
      </c>
      <c r="E53" s="3" t="s">
        <v>27</v>
      </c>
      <c r="F53" s="2" t="s">
        <v>120</v>
      </c>
      <c r="G53" s="4">
        <v>45409</v>
      </c>
      <c r="H53" s="4">
        <v>45424</v>
      </c>
      <c r="I53" s="5">
        <v>692180</v>
      </c>
      <c r="J53" s="5">
        <v>0</v>
      </c>
      <c r="K53" s="2" t="s">
        <v>20</v>
      </c>
      <c r="L53" s="3" t="s">
        <v>52</v>
      </c>
      <c r="M53" s="2" t="s">
        <v>30</v>
      </c>
      <c r="N53" s="2">
        <f t="shared" si="0"/>
        <v>15</v>
      </c>
      <c r="P53" t="str">
        <f t="shared" si="1"/>
        <v>Recorded</v>
      </c>
    </row>
    <row r="54" spans="1:16" ht="13.5" customHeight="1" x14ac:dyDescent="0.3">
      <c r="A54" s="2" t="s">
        <v>174</v>
      </c>
      <c r="B54" s="3" t="s">
        <v>175</v>
      </c>
      <c r="C54" s="3" t="s">
        <v>70</v>
      </c>
      <c r="D54" s="3" t="s">
        <v>26</v>
      </c>
      <c r="E54" s="3" t="s">
        <v>41</v>
      </c>
      <c r="F54" s="2" t="s">
        <v>143</v>
      </c>
      <c r="G54" s="4">
        <v>45592</v>
      </c>
      <c r="H54" s="4">
        <v>45598</v>
      </c>
      <c r="I54" s="5">
        <v>214202</v>
      </c>
      <c r="J54" s="5">
        <v>214202</v>
      </c>
      <c r="K54" s="2" t="s">
        <v>67</v>
      </c>
      <c r="L54" s="3"/>
      <c r="M54" s="2" t="s">
        <v>117</v>
      </c>
      <c r="N54" s="2">
        <f t="shared" si="0"/>
        <v>6</v>
      </c>
      <c r="P54" t="str">
        <f t="shared" si="1"/>
        <v>Recorded</v>
      </c>
    </row>
    <row r="55" spans="1:16" ht="13.5" customHeight="1" x14ac:dyDescent="0.3">
      <c r="A55" s="2" t="s">
        <v>176</v>
      </c>
      <c r="B55" s="3" t="s">
        <v>177</v>
      </c>
      <c r="C55" s="3" t="s">
        <v>39</v>
      </c>
      <c r="D55" s="3" t="s">
        <v>26</v>
      </c>
      <c r="E55" s="3" t="s">
        <v>50</v>
      </c>
      <c r="F55" s="2" t="s">
        <v>51</v>
      </c>
      <c r="G55" s="4">
        <v>45484</v>
      </c>
      <c r="H55" s="4">
        <v>45501</v>
      </c>
      <c r="I55" s="5">
        <v>128668</v>
      </c>
      <c r="J55" s="5">
        <v>128668</v>
      </c>
      <c r="K55" s="2" t="s">
        <v>67</v>
      </c>
      <c r="L55" s="3"/>
      <c r="M55" s="2" t="s">
        <v>63</v>
      </c>
      <c r="N55" s="2">
        <f t="shared" si="0"/>
        <v>17</v>
      </c>
      <c r="P55" t="str">
        <f t="shared" si="1"/>
        <v>Recorded</v>
      </c>
    </row>
    <row r="56" spans="1:16" ht="13.5" customHeight="1" x14ac:dyDescent="0.3">
      <c r="A56" s="2" t="s">
        <v>178</v>
      </c>
      <c r="B56" s="3" t="s">
        <v>179</v>
      </c>
      <c r="C56" s="3" t="s">
        <v>39</v>
      </c>
      <c r="D56" s="3" t="s">
        <v>62</v>
      </c>
      <c r="E56" s="3" t="s">
        <v>33</v>
      </c>
      <c r="F56" s="2" t="s">
        <v>163</v>
      </c>
      <c r="G56" s="4">
        <v>45564</v>
      </c>
      <c r="H56" s="4">
        <v>45570</v>
      </c>
      <c r="I56" s="5">
        <v>257213</v>
      </c>
      <c r="J56" s="5">
        <v>257213</v>
      </c>
      <c r="K56" s="2" t="s">
        <v>67</v>
      </c>
      <c r="L56" s="3"/>
      <c r="M56" s="2" t="s">
        <v>88</v>
      </c>
      <c r="N56" s="2">
        <f t="shared" si="0"/>
        <v>6</v>
      </c>
      <c r="P56" t="str">
        <f t="shared" si="1"/>
        <v>Recorded</v>
      </c>
    </row>
    <row r="57" spans="1:16" ht="13.5" customHeight="1" x14ac:dyDescent="0.3">
      <c r="A57" s="2" t="s">
        <v>180</v>
      </c>
      <c r="B57" s="3" t="s">
        <v>181</v>
      </c>
      <c r="C57" s="3" t="s">
        <v>25</v>
      </c>
      <c r="D57" s="3" t="s">
        <v>62</v>
      </c>
      <c r="E57" s="3" t="s">
        <v>74</v>
      </c>
      <c r="F57" s="2" t="s">
        <v>47</v>
      </c>
      <c r="G57" s="4">
        <v>45346</v>
      </c>
      <c r="H57" s="4">
        <v>45348</v>
      </c>
      <c r="I57" s="2"/>
      <c r="J57" s="5">
        <v>125408</v>
      </c>
      <c r="K57" s="2" t="s">
        <v>67</v>
      </c>
      <c r="L57" s="3"/>
      <c r="M57" s="2" t="s">
        <v>63</v>
      </c>
      <c r="N57" s="2">
        <f t="shared" si="0"/>
        <v>2</v>
      </c>
      <c r="P57" t="str">
        <f t="shared" si="1"/>
        <v>Missing</v>
      </c>
    </row>
    <row r="58" spans="1:16" ht="13.5" customHeight="1" x14ac:dyDescent="0.3">
      <c r="A58" s="2" t="s">
        <v>182</v>
      </c>
      <c r="B58" s="3" t="s">
        <v>183</v>
      </c>
      <c r="C58" s="3" t="s">
        <v>25</v>
      </c>
      <c r="D58" s="3" t="s">
        <v>56</v>
      </c>
      <c r="E58" s="3" t="s">
        <v>33</v>
      </c>
      <c r="F58" s="2" t="s">
        <v>47</v>
      </c>
      <c r="G58" s="4">
        <v>45595</v>
      </c>
      <c r="H58" s="4"/>
      <c r="I58" s="5">
        <v>145262</v>
      </c>
      <c r="J58" s="2"/>
      <c r="K58" s="2" t="s">
        <v>75</v>
      </c>
      <c r="L58" s="3"/>
      <c r="M58" s="2" t="s">
        <v>96</v>
      </c>
      <c r="N58" s="2" t="str">
        <f t="shared" si="0"/>
        <v>Pending</v>
      </c>
      <c r="P58" t="str">
        <f t="shared" si="1"/>
        <v>Recorded</v>
      </c>
    </row>
    <row r="59" spans="1:16" ht="13.5" customHeight="1" x14ac:dyDescent="0.3">
      <c r="A59" s="2" t="s">
        <v>184</v>
      </c>
      <c r="B59" s="3" t="s">
        <v>185</v>
      </c>
      <c r="C59" s="3" t="s">
        <v>39</v>
      </c>
      <c r="D59" s="3" t="s">
        <v>56</v>
      </c>
      <c r="E59" s="3" t="s">
        <v>33</v>
      </c>
      <c r="F59" s="2" t="s">
        <v>34</v>
      </c>
      <c r="G59" s="4">
        <v>45395</v>
      </c>
      <c r="H59" s="4">
        <v>45407</v>
      </c>
      <c r="I59" s="5">
        <v>12573</v>
      </c>
      <c r="J59" s="5">
        <v>12573</v>
      </c>
      <c r="K59" s="2" t="s">
        <v>67</v>
      </c>
      <c r="L59" s="3"/>
      <c r="M59" s="2" t="s">
        <v>121</v>
      </c>
      <c r="N59" s="2">
        <f t="shared" si="0"/>
        <v>12</v>
      </c>
      <c r="P59" t="str">
        <f t="shared" si="1"/>
        <v>Recorded</v>
      </c>
    </row>
    <row r="60" spans="1:16" ht="13.5" customHeight="1" x14ac:dyDescent="0.3">
      <c r="A60" s="2" t="s">
        <v>186</v>
      </c>
      <c r="B60" s="3" t="s">
        <v>187</v>
      </c>
      <c r="C60" s="3" t="s">
        <v>25</v>
      </c>
      <c r="D60" s="3" t="s">
        <v>56</v>
      </c>
      <c r="E60" s="3" t="s">
        <v>33</v>
      </c>
      <c r="F60" s="2" t="s">
        <v>47</v>
      </c>
      <c r="G60" s="4">
        <v>45525</v>
      </c>
      <c r="H60" s="4">
        <v>45543</v>
      </c>
      <c r="I60" s="5">
        <v>127714</v>
      </c>
      <c r="J60" s="5">
        <v>48107</v>
      </c>
      <c r="K60" s="2" t="s">
        <v>35</v>
      </c>
      <c r="L60" s="3"/>
      <c r="M60" s="2" t="s">
        <v>93</v>
      </c>
      <c r="N60" s="2">
        <f t="shared" si="0"/>
        <v>18</v>
      </c>
      <c r="P60" t="str">
        <f t="shared" si="1"/>
        <v>Recorded</v>
      </c>
    </row>
    <row r="61" spans="1:16" ht="13.5" customHeight="1" x14ac:dyDescent="0.3">
      <c r="A61" s="2" t="s">
        <v>188</v>
      </c>
      <c r="B61" s="3" t="s">
        <v>189</v>
      </c>
      <c r="C61" s="3" t="s">
        <v>70</v>
      </c>
      <c r="D61" s="3" t="s">
        <v>17</v>
      </c>
      <c r="E61" s="3" t="s">
        <v>41</v>
      </c>
      <c r="F61" s="2" t="s">
        <v>42</v>
      </c>
      <c r="G61" s="4">
        <v>45496</v>
      </c>
      <c r="H61" s="4">
        <v>45509</v>
      </c>
      <c r="I61" s="5">
        <v>673100</v>
      </c>
      <c r="J61" s="5">
        <v>673100</v>
      </c>
      <c r="K61" s="2" t="s">
        <v>67</v>
      </c>
      <c r="L61" s="3"/>
      <c r="M61" s="2" t="s">
        <v>59</v>
      </c>
      <c r="N61" s="2">
        <f t="shared" si="0"/>
        <v>13</v>
      </c>
      <c r="P61" t="str">
        <f t="shared" si="1"/>
        <v>Recorded</v>
      </c>
    </row>
    <row r="62" spans="1:16" ht="13.5" customHeight="1" x14ac:dyDescent="0.3">
      <c r="A62" s="2" t="s">
        <v>190</v>
      </c>
      <c r="B62" s="3" t="s">
        <v>191</v>
      </c>
      <c r="C62" s="3" t="s">
        <v>70</v>
      </c>
      <c r="D62" s="3" t="s">
        <v>56</v>
      </c>
      <c r="E62" s="3" t="s">
        <v>50</v>
      </c>
      <c r="F62" s="2" t="s">
        <v>51</v>
      </c>
      <c r="G62" s="4">
        <v>45489</v>
      </c>
      <c r="H62" s="4"/>
      <c r="I62" s="5">
        <v>458822</v>
      </c>
      <c r="J62" s="2"/>
      <c r="K62" s="2" t="s">
        <v>75</v>
      </c>
      <c r="L62" s="3"/>
      <c r="M62" s="2" t="s">
        <v>22</v>
      </c>
      <c r="N62" s="2" t="str">
        <f t="shared" si="0"/>
        <v>Pending</v>
      </c>
      <c r="P62" t="str">
        <f t="shared" si="1"/>
        <v>Recorded</v>
      </c>
    </row>
    <row r="63" spans="1:16" ht="13.5" customHeight="1" x14ac:dyDescent="0.3">
      <c r="A63" s="2" t="s">
        <v>192</v>
      </c>
      <c r="B63" s="3" t="s">
        <v>193</v>
      </c>
      <c r="C63" s="3" t="s">
        <v>70</v>
      </c>
      <c r="D63" s="3" t="s">
        <v>62</v>
      </c>
      <c r="E63" s="3" t="s">
        <v>50</v>
      </c>
      <c r="F63" s="2" t="s">
        <v>51</v>
      </c>
      <c r="G63" s="4">
        <v>45297</v>
      </c>
      <c r="H63" s="4"/>
      <c r="I63" s="5">
        <v>329640</v>
      </c>
      <c r="J63" s="2"/>
      <c r="K63" s="2" t="s">
        <v>75</v>
      </c>
      <c r="L63" s="3"/>
      <c r="M63" s="2" t="s">
        <v>117</v>
      </c>
      <c r="N63" s="2" t="str">
        <f t="shared" si="0"/>
        <v>Pending</v>
      </c>
      <c r="P63" t="str">
        <f t="shared" si="1"/>
        <v>Recorded</v>
      </c>
    </row>
    <row r="64" spans="1:16" ht="13.5" customHeight="1" x14ac:dyDescent="0.3">
      <c r="A64" s="2" t="s">
        <v>194</v>
      </c>
      <c r="B64" s="3" t="s">
        <v>195</v>
      </c>
      <c r="C64" s="3" t="s">
        <v>70</v>
      </c>
      <c r="D64" s="3" t="s">
        <v>62</v>
      </c>
      <c r="E64" s="3" t="s">
        <v>27</v>
      </c>
      <c r="F64" s="2" t="s">
        <v>28</v>
      </c>
      <c r="G64" s="4">
        <v>45468</v>
      </c>
      <c r="H64" s="4">
        <v>45471</v>
      </c>
      <c r="I64" s="5">
        <v>742778</v>
      </c>
      <c r="J64" s="5">
        <v>233504</v>
      </c>
      <c r="K64" s="2" t="s">
        <v>35</v>
      </c>
      <c r="L64" s="3"/>
      <c r="M64" s="2" t="s">
        <v>30</v>
      </c>
      <c r="N64" s="2">
        <f t="shared" si="0"/>
        <v>3</v>
      </c>
      <c r="P64" t="str">
        <f t="shared" si="1"/>
        <v>Recorded</v>
      </c>
    </row>
    <row r="65" spans="1:16" ht="13.5" customHeight="1" x14ac:dyDescent="0.3">
      <c r="A65" s="2" t="s">
        <v>196</v>
      </c>
      <c r="B65" s="3" t="s">
        <v>197</v>
      </c>
      <c r="C65" s="3" t="s">
        <v>39</v>
      </c>
      <c r="D65" s="3" t="s">
        <v>56</v>
      </c>
      <c r="E65" s="3" t="s">
        <v>50</v>
      </c>
      <c r="F65" s="2" t="s">
        <v>81</v>
      </c>
      <c r="G65" s="4">
        <v>45503</v>
      </c>
      <c r="H65" s="4">
        <v>45504</v>
      </c>
      <c r="I65" s="5">
        <v>515919</v>
      </c>
      <c r="J65" s="5">
        <v>515919</v>
      </c>
      <c r="K65" s="2" t="s">
        <v>67</v>
      </c>
      <c r="L65" s="3"/>
      <c r="M65" s="2" t="s">
        <v>36</v>
      </c>
      <c r="N65" s="2">
        <f t="shared" si="0"/>
        <v>1</v>
      </c>
      <c r="P65" t="str">
        <f t="shared" si="1"/>
        <v>Recorded</v>
      </c>
    </row>
    <row r="66" spans="1:16" ht="13.5" customHeight="1" x14ac:dyDescent="0.3">
      <c r="A66" s="2" t="s">
        <v>198</v>
      </c>
      <c r="B66" s="3" t="s">
        <v>199</v>
      </c>
      <c r="C66" s="3" t="s">
        <v>25</v>
      </c>
      <c r="D66" s="3" t="s">
        <v>40</v>
      </c>
      <c r="E66" s="3" t="s">
        <v>33</v>
      </c>
      <c r="F66" s="2" t="s">
        <v>163</v>
      </c>
      <c r="G66" s="4">
        <v>45426</v>
      </c>
      <c r="H66" s="4">
        <v>45447</v>
      </c>
      <c r="I66" s="5">
        <v>335147</v>
      </c>
      <c r="J66" s="5">
        <v>335147</v>
      </c>
      <c r="K66" s="2" t="s">
        <v>67</v>
      </c>
      <c r="L66" s="3"/>
      <c r="M66" s="2" t="s">
        <v>88</v>
      </c>
      <c r="N66" s="2">
        <f t="shared" si="0"/>
        <v>21</v>
      </c>
      <c r="P66" t="str">
        <f t="shared" si="1"/>
        <v>Recorded</v>
      </c>
    </row>
    <row r="67" spans="1:16" ht="13.5" customHeight="1" x14ac:dyDescent="0.3">
      <c r="A67" s="2" t="s">
        <v>200</v>
      </c>
      <c r="B67" s="3" t="s">
        <v>201</v>
      </c>
      <c r="C67" s="3" t="s">
        <v>70</v>
      </c>
      <c r="D67" s="3" t="s">
        <v>26</v>
      </c>
      <c r="E67" s="3" t="s">
        <v>33</v>
      </c>
      <c r="F67" s="2" t="s">
        <v>163</v>
      </c>
      <c r="G67" s="4">
        <v>45391</v>
      </c>
      <c r="H67" s="4">
        <v>45405</v>
      </c>
      <c r="I67" s="5">
        <v>686605</v>
      </c>
      <c r="J67" s="5">
        <v>686605</v>
      </c>
      <c r="K67" s="2" t="s">
        <v>67</v>
      </c>
      <c r="L67" s="3"/>
      <c r="M67" s="2" t="s">
        <v>36</v>
      </c>
      <c r="N67" s="2">
        <f t="shared" ref="N67:N130" si="11">IF(H67="","Pending",H67-G67)</f>
        <v>14</v>
      </c>
      <c r="P67" t="str">
        <f t="shared" ref="P67:P130" si="12">IF(I67 = "", "Missing", "Recorded")</f>
        <v>Recorded</v>
      </c>
    </row>
    <row r="68" spans="1:16" ht="13.5" customHeight="1" x14ac:dyDescent="0.3">
      <c r="A68" s="2" t="s">
        <v>202</v>
      </c>
      <c r="B68" s="3" t="s">
        <v>203</v>
      </c>
      <c r="C68" s="3" t="s">
        <v>39</v>
      </c>
      <c r="D68" s="3" t="s">
        <v>62</v>
      </c>
      <c r="E68" s="3" t="s">
        <v>50</v>
      </c>
      <c r="F68" s="2" t="s">
        <v>51</v>
      </c>
      <c r="G68" s="4">
        <v>45488</v>
      </c>
      <c r="H68" s="4">
        <v>45501</v>
      </c>
      <c r="I68" s="5">
        <v>228206</v>
      </c>
      <c r="J68" s="5">
        <v>228206</v>
      </c>
      <c r="K68" s="2" t="s">
        <v>67</v>
      </c>
      <c r="L68" s="3"/>
      <c r="M68" s="2" t="s">
        <v>88</v>
      </c>
      <c r="N68" s="2">
        <f t="shared" si="11"/>
        <v>13</v>
      </c>
      <c r="P68" t="str">
        <f t="shared" si="12"/>
        <v>Recorded</v>
      </c>
    </row>
    <row r="69" spans="1:16" ht="13.5" customHeight="1" x14ac:dyDescent="0.3">
      <c r="A69" s="2" t="s">
        <v>204</v>
      </c>
      <c r="B69" s="3" t="s">
        <v>205</v>
      </c>
      <c r="C69" s="3" t="s">
        <v>25</v>
      </c>
      <c r="D69" s="3" t="s">
        <v>26</v>
      </c>
      <c r="E69" s="3" t="s">
        <v>41</v>
      </c>
      <c r="F69" s="2" t="s">
        <v>42</v>
      </c>
      <c r="G69" s="4">
        <v>45292</v>
      </c>
      <c r="H69" s="4">
        <v>45294</v>
      </c>
      <c r="I69" s="5">
        <v>308244</v>
      </c>
      <c r="J69" s="5">
        <v>308244</v>
      </c>
      <c r="K69" s="2" t="s">
        <v>67</v>
      </c>
      <c r="L69" s="3"/>
      <c r="M69" s="2" t="s">
        <v>132</v>
      </c>
      <c r="N69" s="2">
        <f t="shared" si="11"/>
        <v>2</v>
      </c>
      <c r="P69" t="str">
        <f t="shared" si="12"/>
        <v>Recorded</v>
      </c>
    </row>
    <row r="70" spans="1:16" ht="13.5" customHeight="1" x14ac:dyDescent="0.3">
      <c r="A70" s="2" t="s">
        <v>206</v>
      </c>
      <c r="B70" s="3" t="s">
        <v>207</v>
      </c>
      <c r="C70" s="3" t="s">
        <v>70</v>
      </c>
      <c r="D70" s="3" t="s">
        <v>62</v>
      </c>
      <c r="E70" s="3" t="s">
        <v>74</v>
      </c>
      <c r="F70" s="2" t="s">
        <v>47</v>
      </c>
      <c r="G70" s="4">
        <v>45536</v>
      </c>
      <c r="H70" s="4">
        <v>45557</v>
      </c>
      <c r="I70" s="5">
        <v>838437</v>
      </c>
      <c r="J70" s="5">
        <v>838437</v>
      </c>
      <c r="K70" s="2" t="s">
        <v>67</v>
      </c>
      <c r="L70" s="3"/>
      <c r="M70" s="2" t="s">
        <v>53</v>
      </c>
      <c r="N70" s="2">
        <f t="shared" si="11"/>
        <v>21</v>
      </c>
      <c r="P70" t="str">
        <f t="shared" si="12"/>
        <v>Recorded</v>
      </c>
    </row>
    <row r="71" spans="1:16" ht="13.5" customHeight="1" x14ac:dyDescent="0.3">
      <c r="A71" s="2" t="s">
        <v>208</v>
      </c>
      <c r="B71" s="3" t="s">
        <v>209</v>
      </c>
      <c r="C71" s="3" t="s">
        <v>70</v>
      </c>
      <c r="D71" s="3" t="s">
        <v>17</v>
      </c>
      <c r="E71" s="3" t="s">
        <v>50</v>
      </c>
      <c r="F71" s="2" t="s">
        <v>51</v>
      </c>
      <c r="G71" s="4">
        <v>45650</v>
      </c>
      <c r="H71" s="4"/>
      <c r="I71" s="5">
        <v>154074</v>
      </c>
      <c r="J71" s="2"/>
      <c r="K71" s="2" t="s">
        <v>75</v>
      </c>
      <c r="L71" s="3"/>
      <c r="M71" s="2" t="s">
        <v>88</v>
      </c>
      <c r="N71" s="2" t="str">
        <f t="shared" si="11"/>
        <v>Pending</v>
      </c>
      <c r="P71" t="str">
        <f t="shared" si="12"/>
        <v>Recorded</v>
      </c>
    </row>
    <row r="72" spans="1:16" ht="13.5" customHeight="1" x14ac:dyDescent="0.3">
      <c r="A72" s="2" t="s">
        <v>210</v>
      </c>
      <c r="B72" s="3" t="s">
        <v>211</v>
      </c>
      <c r="C72" s="3" t="s">
        <v>70</v>
      </c>
      <c r="D72" s="3" t="s">
        <v>62</v>
      </c>
      <c r="E72" s="3" t="s">
        <v>50</v>
      </c>
      <c r="F72" s="2" t="s">
        <v>51</v>
      </c>
      <c r="G72" s="4">
        <v>45320</v>
      </c>
      <c r="H72" s="4">
        <v>45330</v>
      </c>
      <c r="I72" s="5">
        <v>359503</v>
      </c>
      <c r="J72" s="5">
        <v>359503</v>
      </c>
      <c r="K72" s="2" t="s">
        <v>67</v>
      </c>
      <c r="L72" s="3"/>
      <c r="M72" s="2" t="s">
        <v>63</v>
      </c>
      <c r="N72" s="2">
        <f t="shared" si="11"/>
        <v>10</v>
      </c>
      <c r="P72" t="str">
        <f t="shared" si="12"/>
        <v>Recorded</v>
      </c>
    </row>
    <row r="73" spans="1:16" ht="13.5" customHeight="1" x14ac:dyDescent="0.3">
      <c r="A73" s="2" t="s">
        <v>212</v>
      </c>
      <c r="B73" s="3" t="s">
        <v>213</v>
      </c>
      <c r="C73" s="3" t="s">
        <v>25</v>
      </c>
      <c r="D73" s="3" t="s">
        <v>56</v>
      </c>
      <c r="E73" s="3" t="s">
        <v>18</v>
      </c>
      <c r="F73" s="2" t="s">
        <v>105</v>
      </c>
      <c r="G73" s="4">
        <v>45306</v>
      </c>
      <c r="H73" s="4"/>
      <c r="I73" s="5">
        <v>503179</v>
      </c>
      <c r="J73" s="2"/>
      <c r="K73" s="2" t="s">
        <v>75</v>
      </c>
      <c r="L73" s="3"/>
      <c r="M73" s="2" t="s">
        <v>44</v>
      </c>
      <c r="N73" s="2" t="str">
        <f t="shared" si="11"/>
        <v>Pending</v>
      </c>
      <c r="P73" t="str">
        <f t="shared" si="12"/>
        <v>Recorded</v>
      </c>
    </row>
    <row r="74" spans="1:16" ht="13.5" customHeight="1" x14ac:dyDescent="0.3">
      <c r="A74" s="2" t="s">
        <v>214</v>
      </c>
      <c r="B74" s="3" t="s">
        <v>215</v>
      </c>
      <c r="C74" s="3" t="s">
        <v>70</v>
      </c>
      <c r="D74" s="3" t="s">
        <v>62</v>
      </c>
      <c r="E74" s="3" t="s">
        <v>33</v>
      </c>
      <c r="F74" s="2" t="s">
        <v>34</v>
      </c>
      <c r="G74" s="4">
        <v>45391</v>
      </c>
      <c r="H74" s="4">
        <v>45410</v>
      </c>
      <c r="I74" s="5">
        <v>675772</v>
      </c>
      <c r="J74" s="5">
        <v>675772</v>
      </c>
      <c r="K74" s="2" t="s">
        <v>67</v>
      </c>
      <c r="L74" s="3"/>
      <c r="M74" s="2" t="s">
        <v>36</v>
      </c>
      <c r="N74" s="2">
        <f t="shared" si="11"/>
        <v>19</v>
      </c>
      <c r="P74" t="str">
        <f t="shared" si="12"/>
        <v>Recorded</v>
      </c>
    </row>
    <row r="75" spans="1:16" ht="13.5" customHeight="1" x14ac:dyDescent="0.3">
      <c r="A75" s="2" t="s">
        <v>216</v>
      </c>
      <c r="B75" s="3" t="s">
        <v>217</v>
      </c>
      <c r="C75" s="3" t="s">
        <v>39</v>
      </c>
      <c r="D75" s="3" t="s">
        <v>56</v>
      </c>
      <c r="E75" s="3" t="s">
        <v>41</v>
      </c>
      <c r="F75" s="2" t="s">
        <v>42</v>
      </c>
      <c r="G75" s="4">
        <v>45523</v>
      </c>
      <c r="H75" s="4">
        <v>45535</v>
      </c>
      <c r="I75" s="5">
        <v>830738</v>
      </c>
      <c r="J75" s="5">
        <v>562729</v>
      </c>
      <c r="K75" s="2" t="s">
        <v>35</v>
      </c>
      <c r="L75" s="3"/>
      <c r="M75" s="2" t="s">
        <v>96</v>
      </c>
      <c r="N75" s="2">
        <f t="shared" si="11"/>
        <v>12</v>
      </c>
      <c r="P75" t="str">
        <f t="shared" si="12"/>
        <v>Recorded</v>
      </c>
    </row>
    <row r="76" spans="1:16" ht="13.5" customHeight="1" x14ac:dyDescent="0.3">
      <c r="A76" s="2" t="s">
        <v>218</v>
      </c>
      <c r="B76" s="3" t="s">
        <v>219</v>
      </c>
      <c r="C76" s="3" t="s">
        <v>70</v>
      </c>
      <c r="D76" s="3" t="s">
        <v>17</v>
      </c>
      <c r="E76" s="3" t="s">
        <v>33</v>
      </c>
      <c r="F76" s="2" t="s">
        <v>47</v>
      </c>
      <c r="G76" s="4">
        <v>45413</v>
      </c>
      <c r="H76" s="4">
        <v>45426</v>
      </c>
      <c r="I76" s="5">
        <v>309489</v>
      </c>
      <c r="J76" s="5">
        <v>110339</v>
      </c>
      <c r="K76" s="2" t="s">
        <v>35</v>
      </c>
      <c r="L76" s="3"/>
      <c r="M76" s="2" t="s">
        <v>59</v>
      </c>
      <c r="N76" s="2">
        <f t="shared" si="11"/>
        <v>13</v>
      </c>
      <c r="P76" t="str">
        <f t="shared" si="12"/>
        <v>Recorded</v>
      </c>
    </row>
    <row r="77" spans="1:16" ht="13.5" customHeight="1" x14ac:dyDescent="0.3">
      <c r="A77" s="2" t="s">
        <v>220</v>
      </c>
      <c r="B77" s="3" t="s">
        <v>221</v>
      </c>
      <c r="C77" s="3" t="s">
        <v>39</v>
      </c>
      <c r="D77" s="3" t="s">
        <v>26</v>
      </c>
      <c r="E77" s="3" t="s">
        <v>27</v>
      </c>
      <c r="F77" s="2" t="s">
        <v>120</v>
      </c>
      <c r="G77" s="4">
        <v>45446</v>
      </c>
      <c r="H77" s="4">
        <v>45447</v>
      </c>
      <c r="I77" s="5">
        <v>341947</v>
      </c>
      <c r="J77" s="5">
        <v>341947</v>
      </c>
      <c r="K77" s="2" t="s">
        <v>67</v>
      </c>
      <c r="L77" s="3"/>
      <c r="M77" s="2" t="s">
        <v>30</v>
      </c>
      <c r="N77" s="2">
        <f t="shared" si="11"/>
        <v>1</v>
      </c>
      <c r="P77" t="str">
        <f t="shared" si="12"/>
        <v>Recorded</v>
      </c>
    </row>
    <row r="78" spans="1:16" ht="13.5" customHeight="1" x14ac:dyDescent="0.3">
      <c r="A78" s="2" t="s">
        <v>222</v>
      </c>
      <c r="B78" s="3" t="s">
        <v>223</v>
      </c>
      <c r="C78" s="3" t="s">
        <v>39</v>
      </c>
      <c r="D78" s="3" t="s">
        <v>56</v>
      </c>
      <c r="E78" s="3" t="s">
        <v>57</v>
      </c>
      <c r="F78" s="2" t="s">
        <v>58</v>
      </c>
      <c r="G78" s="4">
        <v>45466</v>
      </c>
      <c r="H78" s="4">
        <v>45467</v>
      </c>
      <c r="I78" s="5">
        <v>115352</v>
      </c>
      <c r="J78" s="5">
        <v>0</v>
      </c>
      <c r="K78" s="2" t="s">
        <v>20</v>
      </c>
      <c r="L78" s="3" t="s">
        <v>52</v>
      </c>
      <c r="M78" s="2" t="s">
        <v>59</v>
      </c>
      <c r="N78" s="2">
        <f t="shared" si="11"/>
        <v>1</v>
      </c>
      <c r="P78" t="str">
        <f t="shared" si="12"/>
        <v>Recorded</v>
      </c>
    </row>
    <row r="79" spans="1:16" ht="13.5" customHeight="1" x14ac:dyDescent="0.3">
      <c r="A79" s="2" t="s">
        <v>224</v>
      </c>
      <c r="B79" s="3" t="s">
        <v>225</v>
      </c>
      <c r="C79" s="3" t="s">
        <v>25</v>
      </c>
      <c r="D79" s="3" t="s">
        <v>56</v>
      </c>
      <c r="E79" s="3" t="s">
        <v>74</v>
      </c>
      <c r="F79" s="2" t="s">
        <v>47</v>
      </c>
      <c r="G79" s="4">
        <v>45473</v>
      </c>
      <c r="H79" s="4">
        <v>45482</v>
      </c>
      <c r="I79" s="5">
        <v>122550</v>
      </c>
      <c r="J79" s="5">
        <v>0</v>
      </c>
      <c r="K79" s="2" t="s">
        <v>20</v>
      </c>
      <c r="L79" s="3" t="s">
        <v>21</v>
      </c>
      <c r="M79" s="2" t="s">
        <v>30</v>
      </c>
      <c r="N79" s="2">
        <f t="shared" si="11"/>
        <v>9</v>
      </c>
      <c r="P79" t="str">
        <f t="shared" si="12"/>
        <v>Recorded</v>
      </c>
    </row>
    <row r="80" spans="1:16" ht="13.5" customHeight="1" x14ac:dyDescent="0.3">
      <c r="A80" s="2" t="s">
        <v>226</v>
      </c>
      <c r="B80" s="3" t="s">
        <v>227</v>
      </c>
      <c r="C80" s="3" t="s">
        <v>16</v>
      </c>
      <c r="D80" s="3" t="s">
        <v>40</v>
      </c>
      <c r="E80" s="3" t="s">
        <v>74</v>
      </c>
      <c r="F80" s="2" t="s">
        <v>34</v>
      </c>
      <c r="G80" s="4">
        <v>45534</v>
      </c>
      <c r="H80" s="4">
        <v>45549</v>
      </c>
      <c r="I80" s="5">
        <v>515899</v>
      </c>
      <c r="J80" s="5">
        <v>515899</v>
      </c>
      <c r="K80" s="2" t="s">
        <v>67</v>
      </c>
      <c r="L80" s="3"/>
      <c r="M80" s="2" t="s">
        <v>44</v>
      </c>
      <c r="N80" s="2">
        <f t="shared" si="11"/>
        <v>15</v>
      </c>
      <c r="P80" t="str">
        <f t="shared" si="12"/>
        <v>Recorded</v>
      </c>
    </row>
    <row r="81" spans="1:16" ht="13.5" customHeight="1" x14ac:dyDescent="0.3">
      <c r="A81" s="2" t="s">
        <v>228</v>
      </c>
      <c r="B81" s="3" t="s">
        <v>229</v>
      </c>
      <c r="C81" s="3" t="s">
        <v>70</v>
      </c>
      <c r="D81" s="3" t="s">
        <v>40</v>
      </c>
      <c r="E81" s="3" t="s">
        <v>74</v>
      </c>
      <c r="F81" s="2" t="s">
        <v>34</v>
      </c>
      <c r="G81" s="4">
        <v>45456</v>
      </c>
      <c r="H81" s="4">
        <v>45474</v>
      </c>
      <c r="I81" s="5">
        <v>79387</v>
      </c>
      <c r="J81" s="5">
        <v>79387</v>
      </c>
      <c r="K81" s="2" t="s">
        <v>67</v>
      </c>
      <c r="L81" s="3"/>
      <c r="M81" s="2" t="s">
        <v>88</v>
      </c>
      <c r="N81" s="2">
        <f t="shared" si="11"/>
        <v>18</v>
      </c>
      <c r="P81" t="str">
        <f t="shared" si="12"/>
        <v>Recorded</v>
      </c>
    </row>
    <row r="82" spans="1:16" ht="13.5" customHeight="1" x14ac:dyDescent="0.3">
      <c r="A82" s="2" t="s">
        <v>230</v>
      </c>
      <c r="B82" s="3" t="s">
        <v>231</v>
      </c>
      <c r="C82" s="3" t="s">
        <v>70</v>
      </c>
      <c r="D82" s="3" t="s">
        <v>56</v>
      </c>
      <c r="E82" s="3" t="s">
        <v>74</v>
      </c>
      <c r="F82" s="2" t="s">
        <v>34</v>
      </c>
      <c r="G82" s="4">
        <v>45461</v>
      </c>
      <c r="H82" s="4">
        <v>45466</v>
      </c>
      <c r="I82" s="5">
        <v>321754</v>
      </c>
      <c r="J82" s="5">
        <v>321754</v>
      </c>
      <c r="K82" s="2" t="s">
        <v>67</v>
      </c>
      <c r="L82" s="3"/>
      <c r="M82" s="2" t="s">
        <v>30</v>
      </c>
      <c r="N82" s="2">
        <f t="shared" si="11"/>
        <v>5</v>
      </c>
      <c r="P82" t="str">
        <f t="shared" si="12"/>
        <v>Recorded</v>
      </c>
    </row>
    <row r="83" spans="1:16" ht="13.5" customHeight="1" x14ac:dyDescent="0.3">
      <c r="A83" s="2" t="s">
        <v>232</v>
      </c>
      <c r="B83" s="3" t="s">
        <v>233</v>
      </c>
      <c r="C83" s="3" t="s">
        <v>25</v>
      </c>
      <c r="D83" s="3" t="s">
        <v>26</v>
      </c>
      <c r="E83" s="3" t="s">
        <v>41</v>
      </c>
      <c r="F83" s="2" t="s">
        <v>42</v>
      </c>
      <c r="G83" s="4">
        <v>45511</v>
      </c>
      <c r="H83" s="4">
        <v>45522</v>
      </c>
      <c r="I83" s="5">
        <v>97570</v>
      </c>
      <c r="J83" s="5">
        <v>0</v>
      </c>
      <c r="K83" s="2" t="s">
        <v>20</v>
      </c>
      <c r="L83" s="3" t="s">
        <v>114</v>
      </c>
      <c r="M83" s="2" t="s">
        <v>144</v>
      </c>
      <c r="N83" s="2">
        <f t="shared" si="11"/>
        <v>11</v>
      </c>
      <c r="P83" t="str">
        <f t="shared" si="12"/>
        <v>Recorded</v>
      </c>
    </row>
    <row r="84" spans="1:16" ht="13.5" customHeight="1" x14ac:dyDescent="0.3">
      <c r="A84" s="2" t="s">
        <v>234</v>
      </c>
      <c r="B84" s="3" t="s">
        <v>235</v>
      </c>
      <c r="C84" s="3" t="s">
        <v>70</v>
      </c>
      <c r="D84" s="3" t="s">
        <v>26</v>
      </c>
      <c r="E84" s="3" t="s">
        <v>74</v>
      </c>
      <c r="F84" s="2" t="s">
        <v>34</v>
      </c>
      <c r="G84" s="4">
        <v>45371</v>
      </c>
      <c r="H84" s="4">
        <v>45377</v>
      </c>
      <c r="I84" s="5">
        <v>682714</v>
      </c>
      <c r="J84" s="5">
        <v>430197</v>
      </c>
      <c r="K84" s="2" t="s">
        <v>35</v>
      </c>
      <c r="L84" s="3"/>
      <c r="M84" s="2" t="s">
        <v>22</v>
      </c>
      <c r="N84" s="2">
        <f t="shared" si="11"/>
        <v>6</v>
      </c>
      <c r="P84" t="str">
        <f t="shared" si="12"/>
        <v>Recorded</v>
      </c>
    </row>
    <row r="85" spans="1:16" ht="13.5" customHeight="1" x14ac:dyDescent="0.3">
      <c r="A85" s="2" t="s">
        <v>236</v>
      </c>
      <c r="B85" s="3" t="s">
        <v>237</v>
      </c>
      <c r="C85" s="3" t="s">
        <v>70</v>
      </c>
      <c r="D85" s="3" t="s">
        <v>56</v>
      </c>
      <c r="E85" s="3" t="s">
        <v>18</v>
      </c>
      <c r="F85" s="2" t="s">
        <v>105</v>
      </c>
      <c r="G85" s="4">
        <v>45544</v>
      </c>
      <c r="H85" s="4">
        <v>45558</v>
      </c>
      <c r="I85" s="5">
        <v>761225</v>
      </c>
      <c r="J85" s="5">
        <v>761225</v>
      </c>
      <c r="K85" s="2" t="s">
        <v>67</v>
      </c>
      <c r="L85" s="3"/>
      <c r="M85" s="2" t="s">
        <v>78</v>
      </c>
      <c r="N85" s="2">
        <f t="shared" si="11"/>
        <v>14</v>
      </c>
      <c r="P85" t="str">
        <f t="shared" si="12"/>
        <v>Recorded</v>
      </c>
    </row>
    <row r="86" spans="1:16" ht="13.5" customHeight="1" x14ac:dyDescent="0.3">
      <c r="A86" s="2" t="s">
        <v>238</v>
      </c>
      <c r="B86" s="3" t="s">
        <v>239</v>
      </c>
      <c r="C86" s="3" t="s">
        <v>39</v>
      </c>
      <c r="D86" s="3" t="s">
        <v>62</v>
      </c>
      <c r="E86" s="3" t="s">
        <v>33</v>
      </c>
      <c r="F86" s="2" t="s">
        <v>47</v>
      </c>
      <c r="G86" s="4">
        <v>45431</v>
      </c>
      <c r="H86" s="4">
        <v>45436</v>
      </c>
      <c r="I86" s="5">
        <v>291583</v>
      </c>
      <c r="J86" s="5">
        <v>291583</v>
      </c>
      <c r="K86" s="2" t="s">
        <v>67</v>
      </c>
      <c r="L86" s="3"/>
      <c r="M86" s="2" t="s">
        <v>63</v>
      </c>
      <c r="N86" s="2">
        <f t="shared" si="11"/>
        <v>5</v>
      </c>
      <c r="P86" t="str">
        <f t="shared" si="12"/>
        <v>Recorded</v>
      </c>
    </row>
    <row r="87" spans="1:16" ht="13.5" customHeight="1" x14ac:dyDescent="0.3">
      <c r="A87" s="2" t="s">
        <v>240</v>
      </c>
      <c r="B87" s="3" t="s">
        <v>241</v>
      </c>
      <c r="C87" s="3" t="s">
        <v>25</v>
      </c>
      <c r="D87" s="3" t="s">
        <v>26</v>
      </c>
      <c r="E87" s="3" t="s">
        <v>18</v>
      </c>
      <c r="F87" s="2" t="s">
        <v>19</v>
      </c>
      <c r="G87" s="4">
        <v>45463</v>
      </c>
      <c r="H87" s="4">
        <v>45488</v>
      </c>
      <c r="I87" s="5">
        <v>654948</v>
      </c>
      <c r="J87" s="5">
        <v>210757</v>
      </c>
      <c r="K87" s="2" t="s">
        <v>35</v>
      </c>
      <c r="L87" s="3"/>
      <c r="M87" s="2" t="s">
        <v>53</v>
      </c>
      <c r="N87" s="2">
        <f t="shared" si="11"/>
        <v>25</v>
      </c>
      <c r="P87" t="str">
        <f t="shared" si="12"/>
        <v>Recorded</v>
      </c>
    </row>
    <row r="88" spans="1:16" ht="13.5" customHeight="1" x14ac:dyDescent="0.3">
      <c r="A88" s="2" t="s">
        <v>242</v>
      </c>
      <c r="B88" s="3" t="s">
        <v>243</v>
      </c>
      <c r="C88" s="3" t="s">
        <v>39</v>
      </c>
      <c r="D88" s="3" t="s">
        <v>26</v>
      </c>
      <c r="E88" s="3" t="s">
        <v>74</v>
      </c>
      <c r="F88" s="2" t="s">
        <v>34</v>
      </c>
      <c r="G88" s="4">
        <v>45491</v>
      </c>
      <c r="H88" s="4"/>
      <c r="I88" s="2"/>
      <c r="J88" s="2"/>
      <c r="K88" s="2" t="s">
        <v>75</v>
      </c>
      <c r="L88" s="3"/>
      <c r="M88" s="2" t="s">
        <v>117</v>
      </c>
      <c r="N88" s="2" t="str">
        <f t="shared" si="11"/>
        <v>Pending</v>
      </c>
      <c r="P88" t="str">
        <f t="shared" si="12"/>
        <v>Missing</v>
      </c>
    </row>
    <row r="89" spans="1:16" ht="13.5" customHeight="1" x14ac:dyDescent="0.3">
      <c r="A89" s="2" t="s">
        <v>244</v>
      </c>
      <c r="B89" s="3" t="s">
        <v>245</v>
      </c>
      <c r="C89" s="3" t="s">
        <v>70</v>
      </c>
      <c r="D89" s="3" t="s">
        <v>40</v>
      </c>
      <c r="E89" s="3" t="s">
        <v>57</v>
      </c>
      <c r="F89" s="2" t="s">
        <v>66</v>
      </c>
      <c r="G89" s="4">
        <v>45332</v>
      </c>
      <c r="H89" s="4"/>
      <c r="I89" s="5">
        <v>940525</v>
      </c>
      <c r="J89" s="2"/>
      <c r="K89" s="2" t="s">
        <v>75</v>
      </c>
      <c r="L89" s="3"/>
      <c r="M89" s="2" t="s">
        <v>121</v>
      </c>
      <c r="N89" s="2" t="str">
        <f t="shared" si="11"/>
        <v>Pending</v>
      </c>
      <c r="P89" t="str">
        <f t="shared" si="12"/>
        <v>Recorded</v>
      </c>
    </row>
    <row r="90" spans="1:16" ht="13.5" customHeight="1" x14ac:dyDescent="0.3">
      <c r="A90" s="2" t="s">
        <v>246</v>
      </c>
      <c r="B90" s="3" t="s">
        <v>247</v>
      </c>
      <c r="C90" s="3" t="s">
        <v>25</v>
      </c>
      <c r="D90" s="3" t="s">
        <v>56</v>
      </c>
      <c r="E90" s="3" t="s">
        <v>57</v>
      </c>
      <c r="F90" s="2" t="s">
        <v>58</v>
      </c>
      <c r="G90" s="4">
        <v>45335</v>
      </c>
      <c r="H90" s="4">
        <v>45349</v>
      </c>
      <c r="I90" s="5">
        <v>407383</v>
      </c>
      <c r="J90" s="5">
        <v>0</v>
      </c>
      <c r="K90" s="2" t="s">
        <v>20</v>
      </c>
      <c r="L90" s="3" t="s">
        <v>52</v>
      </c>
      <c r="M90" s="2" t="s">
        <v>144</v>
      </c>
      <c r="N90" s="2">
        <f t="shared" si="11"/>
        <v>14</v>
      </c>
      <c r="P90" t="str">
        <f t="shared" si="12"/>
        <v>Recorded</v>
      </c>
    </row>
    <row r="91" spans="1:16" ht="13.5" customHeight="1" x14ac:dyDescent="0.3">
      <c r="A91" s="2" t="s">
        <v>248</v>
      </c>
      <c r="B91" s="3" t="s">
        <v>249</v>
      </c>
      <c r="C91" s="3" t="s">
        <v>25</v>
      </c>
      <c r="D91" s="3" t="s">
        <v>56</v>
      </c>
      <c r="E91" s="3" t="s">
        <v>33</v>
      </c>
      <c r="F91" s="2" t="s">
        <v>163</v>
      </c>
      <c r="G91" s="4">
        <v>45541</v>
      </c>
      <c r="H91" s="4">
        <v>45552</v>
      </c>
      <c r="I91" s="5">
        <v>496625</v>
      </c>
      <c r="J91" s="5">
        <v>268275</v>
      </c>
      <c r="K91" s="2" t="s">
        <v>35</v>
      </c>
      <c r="L91" s="3"/>
      <c r="M91" s="2" t="s">
        <v>59</v>
      </c>
      <c r="N91" s="2">
        <f t="shared" si="11"/>
        <v>11</v>
      </c>
      <c r="P91" t="str">
        <f t="shared" si="12"/>
        <v>Recorded</v>
      </c>
    </row>
    <row r="92" spans="1:16" ht="13.5" customHeight="1" x14ac:dyDescent="0.3">
      <c r="A92" s="2" t="s">
        <v>250</v>
      </c>
      <c r="B92" s="3" t="s">
        <v>251</v>
      </c>
      <c r="C92" s="3" t="s">
        <v>39</v>
      </c>
      <c r="D92" s="3" t="s">
        <v>56</v>
      </c>
      <c r="E92" s="3" t="s">
        <v>41</v>
      </c>
      <c r="F92" s="2" t="s">
        <v>42</v>
      </c>
      <c r="G92" s="4">
        <v>45513</v>
      </c>
      <c r="H92" s="4">
        <v>45515</v>
      </c>
      <c r="I92" s="5">
        <v>897909</v>
      </c>
      <c r="J92" s="5">
        <v>634973</v>
      </c>
      <c r="K92" s="2" t="s">
        <v>35</v>
      </c>
      <c r="L92" s="3"/>
      <c r="M92" s="2" t="s">
        <v>78</v>
      </c>
      <c r="N92" s="2">
        <f t="shared" si="11"/>
        <v>2</v>
      </c>
      <c r="P92" t="str">
        <f t="shared" si="12"/>
        <v>Recorded</v>
      </c>
    </row>
    <row r="93" spans="1:16" ht="13.5" customHeight="1" x14ac:dyDescent="0.3">
      <c r="A93" s="2" t="s">
        <v>252</v>
      </c>
      <c r="B93" s="3" t="s">
        <v>253</v>
      </c>
      <c r="C93" s="3" t="s">
        <v>16</v>
      </c>
      <c r="D93" s="3" t="s">
        <v>62</v>
      </c>
      <c r="E93" s="3" t="s">
        <v>27</v>
      </c>
      <c r="F93" s="2" t="s">
        <v>120</v>
      </c>
      <c r="G93" s="4">
        <v>45614</v>
      </c>
      <c r="H93" s="4">
        <v>45624</v>
      </c>
      <c r="I93" s="5">
        <v>196399</v>
      </c>
      <c r="J93" s="5">
        <v>0</v>
      </c>
      <c r="K93" s="2" t="s">
        <v>20</v>
      </c>
      <c r="L93" s="3" t="s">
        <v>21</v>
      </c>
      <c r="M93" s="2" t="s">
        <v>44</v>
      </c>
      <c r="N93" s="2">
        <f t="shared" si="11"/>
        <v>10</v>
      </c>
      <c r="P93" t="str">
        <f t="shared" si="12"/>
        <v>Recorded</v>
      </c>
    </row>
    <row r="94" spans="1:16" ht="13.5" customHeight="1" x14ac:dyDescent="0.3">
      <c r="A94" s="2" t="s">
        <v>254</v>
      </c>
      <c r="B94" s="3" t="s">
        <v>255</v>
      </c>
      <c r="C94" s="3" t="s">
        <v>70</v>
      </c>
      <c r="D94" s="3" t="s">
        <v>56</v>
      </c>
      <c r="E94" s="3" t="s">
        <v>18</v>
      </c>
      <c r="F94" s="2" t="s">
        <v>105</v>
      </c>
      <c r="G94" s="4">
        <v>45419</v>
      </c>
      <c r="H94" s="4">
        <v>45428</v>
      </c>
      <c r="I94" s="5">
        <v>103264</v>
      </c>
      <c r="J94" s="5">
        <v>103264</v>
      </c>
      <c r="K94" s="2" t="s">
        <v>67</v>
      </c>
      <c r="L94" s="3"/>
      <c r="M94" s="2" t="s">
        <v>22</v>
      </c>
      <c r="N94" s="2">
        <f t="shared" si="11"/>
        <v>9</v>
      </c>
      <c r="P94" t="str">
        <f t="shared" si="12"/>
        <v>Recorded</v>
      </c>
    </row>
    <row r="95" spans="1:16" ht="13.5" customHeight="1" x14ac:dyDescent="0.3">
      <c r="A95" s="2" t="s">
        <v>256</v>
      </c>
      <c r="B95" s="3" t="s">
        <v>257</v>
      </c>
      <c r="C95" s="3" t="s">
        <v>16</v>
      </c>
      <c r="D95" s="3" t="s">
        <v>62</v>
      </c>
      <c r="E95" s="3" t="s">
        <v>74</v>
      </c>
      <c r="F95" s="2" t="s">
        <v>47</v>
      </c>
      <c r="G95" s="4">
        <v>45353</v>
      </c>
      <c r="H95" s="4">
        <v>45358</v>
      </c>
      <c r="I95" s="5">
        <v>102326</v>
      </c>
      <c r="J95" s="5">
        <v>0</v>
      </c>
      <c r="K95" s="2" t="s">
        <v>20</v>
      </c>
      <c r="L95" s="3" t="s">
        <v>114</v>
      </c>
      <c r="M95" s="2" t="s">
        <v>30</v>
      </c>
      <c r="N95" s="2">
        <f t="shared" si="11"/>
        <v>5</v>
      </c>
      <c r="P95" t="str">
        <f t="shared" si="12"/>
        <v>Recorded</v>
      </c>
    </row>
    <row r="96" spans="1:16" ht="13.5" customHeight="1" x14ac:dyDescent="0.3">
      <c r="A96" s="2" t="s">
        <v>258</v>
      </c>
      <c r="B96" s="3" t="s">
        <v>259</v>
      </c>
      <c r="C96" s="3" t="s">
        <v>39</v>
      </c>
      <c r="D96" s="3" t="s">
        <v>40</v>
      </c>
      <c r="E96" s="3" t="s">
        <v>33</v>
      </c>
      <c r="F96" s="2" t="s">
        <v>34</v>
      </c>
      <c r="G96" s="4">
        <v>45338</v>
      </c>
      <c r="H96" s="4">
        <v>45350</v>
      </c>
      <c r="I96" s="5">
        <v>282526</v>
      </c>
      <c r="J96" s="5">
        <v>282526</v>
      </c>
      <c r="K96" s="2" t="s">
        <v>67</v>
      </c>
      <c r="L96" s="3"/>
      <c r="M96" s="2" t="s">
        <v>63</v>
      </c>
      <c r="N96" s="2">
        <f t="shared" si="11"/>
        <v>12</v>
      </c>
      <c r="P96" t="str">
        <f t="shared" si="12"/>
        <v>Recorded</v>
      </c>
    </row>
    <row r="97" spans="1:16" ht="13.5" customHeight="1" x14ac:dyDescent="0.3">
      <c r="A97" s="2" t="s">
        <v>260</v>
      </c>
      <c r="B97" s="3" t="s">
        <v>261</v>
      </c>
      <c r="C97" s="3" t="s">
        <v>70</v>
      </c>
      <c r="D97" s="3" t="s">
        <v>26</v>
      </c>
      <c r="E97" s="3" t="s">
        <v>18</v>
      </c>
      <c r="F97" s="2" t="s">
        <v>19</v>
      </c>
      <c r="G97" s="4">
        <v>45498</v>
      </c>
      <c r="H97" s="4"/>
      <c r="I97" s="5">
        <v>906577</v>
      </c>
      <c r="J97" s="2"/>
      <c r="K97" s="2" t="s">
        <v>75</v>
      </c>
      <c r="L97" s="3"/>
      <c r="M97" s="2" t="s">
        <v>96</v>
      </c>
      <c r="N97" s="2" t="str">
        <f t="shared" si="11"/>
        <v>Pending</v>
      </c>
      <c r="P97" t="str">
        <f t="shared" si="12"/>
        <v>Recorded</v>
      </c>
    </row>
    <row r="98" spans="1:16" ht="13.5" customHeight="1" x14ac:dyDescent="0.3">
      <c r="A98" s="2" t="s">
        <v>262</v>
      </c>
      <c r="B98" s="3" t="s">
        <v>263</v>
      </c>
      <c r="C98" s="3" t="s">
        <v>39</v>
      </c>
      <c r="D98" s="3" t="s">
        <v>56</v>
      </c>
      <c r="E98" s="3" t="s">
        <v>57</v>
      </c>
      <c r="F98" s="2" t="s">
        <v>58</v>
      </c>
      <c r="G98" s="4">
        <v>45614</v>
      </c>
      <c r="H98" s="4">
        <v>45620</v>
      </c>
      <c r="I98" s="5">
        <v>119799</v>
      </c>
      <c r="J98" s="5">
        <v>0</v>
      </c>
      <c r="K98" s="2" t="s">
        <v>20</v>
      </c>
      <c r="L98" s="3" t="s">
        <v>52</v>
      </c>
      <c r="M98" s="2" t="s">
        <v>30</v>
      </c>
      <c r="N98" s="2">
        <f t="shared" si="11"/>
        <v>6</v>
      </c>
      <c r="P98" t="str">
        <f t="shared" si="12"/>
        <v>Recorded</v>
      </c>
    </row>
    <row r="99" spans="1:16" ht="13.5" customHeight="1" x14ac:dyDescent="0.3">
      <c r="A99" s="2" t="s">
        <v>264</v>
      </c>
      <c r="B99" s="3" t="s">
        <v>265</v>
      </c>
      <c r="C99" s="3" t="s">
        <v>16</v>
      </c>
      <c r="D99" s="3" t="s">
        <v>40</v>
      </c>
      <c r="E99" s="3" t="s">
        <v>27</v>
      </c>
      <c r="F99" s="2" t="s">
        <v>28</v>
      </c>
      <c r="G99" s="4">
        <v>45303</v>
      </c>
      <c r="H99" s="4">
        <v>45313</v>
      </c>
      <c r="I99" s="5">
        <v>380205</v>
      </c>
      <c r="J99" s="5">
        <v>380205</v>
      </c>
      <c r="K99" s="2" t="s">
        <v>67</v>
      </c>
      <c r="L99" s="3"/>
      <c r="M99" s="2" t="s">
        <v>53</v>
      </c>
      <c r="N99" s="2">
        <f t="shared" si="11"/>
        <v>10</v>
      </c>
      <c r="P99" t="str">
        <f t="shared" si="12"/>
        <v>Recorded</v>
      </c>
    </row>
    <row r="100" spans="1:16" ht="13.5" customHeight="1" x14ac:dyDescent="0.3">
      <c r="A100" s="2" t="s">
        <v>266</v>
      </c>
      <c r="B100" s="3" t="s">
        <v>267</v>
      </c>
      <c r="C100" s="3" t="s">
        <v>25</v>
      </c>
      <c r="D100" s="3" t="s">
        <v>62</v>
      </c>
      <c r="E100" s="3" t="s">
        <v>74</v>
      </c>
      <c r="F100" s="2" t="s">
        <v>34</v>
      </c>
      <c r="G100" s="4">
        <v>45373</v>
      </c>
      <c r="H100" s="4">
        <v>45387</v>
      </c>
      <c r="I100" s="5">
        <v>643357</v>
      </c>
      <c r="J100" s="5">
        <v>0</v>
      </c>
      <c r="K100" s="2" t="s">
        <v>20</v>
      </c>
      <c r="L100" s="3" t="s">
        <v>114</v>
      </c>
      <c r="M100" s="2" t="s">
        <v>96</v>
      </c>
      <c r="N100" s="2">
        <f t="shared" si="11"/>
        <v>14</v>
      </c>
      <c r="P100" t="str">
        <f t="shared" si="12"/>
        <v>Recorded</v>
      </c>
    </row>
    <row r="101" spans="1:16" ht="13.5" customHeight="1" x14ac:dyDescent="0.3">
      <c r="A101" s="2" t="s">
        <v>268</v>
      </c>
      <c r="B101" s="3" t="s">
        <v>269</v>
      </c>
      <c r="C101" s="3" t="s">
        <v>25</v>
      </c>
      <c r="D101" s="3" t="s">
        <v>26</v>
      </c>
      <c r="E101" s="3" t="s">
        <v>41</v>
      </c>
      <c r="F101" s="2" t="s">
        <v>42</v>
      </c>
      <c r="G101" s="4">
        <v>45478</v>
      </c>
      <c r="H101" s="4">
        <v>45494</v>
      </c>
      <c r="I101" s="5">
        <v>245865</v>
      </c>
      <c r="J101" s="5">
        <v>245865</v>
      </c>
      <c r="K101" s="2" t="s">
        <v>67</v>
      </c>
      <c r="L101" s="3"/>
      <c r="M101" s="2" t="s">
        <v>36</v>
      </c>
      <c r="N101" s="2">
        <f t="shared" si="11"/>
        <v>16</v>
      </c>
      <c r="P101" t="str">
        <f t="shared" si="12"/>
        <v>Recorded</v>
      </c>
    </row>
    <row r="102" spans="1:16" ht="13.5" customHeight="1" x14ac:dyDescent="0.3">
      <c r="A102" s="2" t="s">
        <v>270</v>
      </c>
      <c r="B102" s="3" t="s">
        <v>271</v>
      </c>
      <c r="C102" s="3" t="s">
        <v>39</v>
      </c>
      <c r="D102" s="3" t="s">
        <v>62</v>
      </c>
      <c r="E102" s="3" t="s">
        <v>41</v>
      </c>
      <c r="F102" s="2" t="s">
        <v>42</v>
      </c>
      <c r="G102" s="4">
        <v>45655</v>
      </c>
      <c r="H102" s="4">
        <v>45670</v>
      </c>
      <c r="I102" s="5">
        <v>189604</v>
      </c>
      <c r="J102" s="5">
        <v>79083</v>
      </c>
      <c r="K102" s="2" t="s">
        <v>35</v>
      </c>
      <c r="L102" s="3"/>
      <c r="M102" s="2" t="s">
        <v>93</v>
      </c>
      <c r="N102" s="2">
        <f t="shared" si="11"/>
        <v>15</v>
      </c>
      <c r="P102" t="str">
        <f t="shared" si="12"/>
        <v>Recorded</v>
      </c>
    </row>
    <row r="103" spans="1:16" ht="13.5" customHeight="1" x14ac:dyDescent="0.3">
      <c r="A103" s="2" t="s">
        <v>272</v>
      </c>
      <c r="B103" s="3" t="s">
        <v>273</v>
      </c>
      <c r="C103" s="3" t="s">
        <v>70</v>
      </c>
      <c r="D103" s="3" t="s">
        <v>40</v>
      </c>
      <c r="E103" s="3" t="s">
        <v>41</v>
      </c>
      <c r="F103" s="2" t="s">
        <v>143</v>
      </c>
      <c r="G103" s="4">
        <v>45429</v>
      </c>
      <c r="H103" s="4">
        <v>45439</v>
      </c>
      <c r="I103" s="5">
        <v>673258</v>
      </c>
      <c r="J103" s="5">
        <v>231791</v>
      </c>
      <c r="K103" s="2" t="s">
        <v>35</v>
      </c>
      <c r="L103" s="3"/>
      <c r="M103" s="2" t="s">
        <v>63</v>
      </c>
      <c r="N103" s="2">
        <f t="shared" si="11"/>
        <v>10</v>
      </c>
      <c r="P103" t="str">
        <f t="shared" si="12"/>
        <v>Recorded</v>
      </c>
    </row>
    <row r="104" spans="1:16" ht="13.5" customHeight="1" x14ac:dyDescent="0.3">
      <c r="A104" s="2" t="s">
        <v>274</v>
      </c>
      <c r="B104" s="3" t="s">
        <v>275</v>
      </c>
      <c r="C104" s="3" t="s">
        <v>25</v>
      </c>
      <c r="D104" s="3" t="s">
        <v>56</v>
      </c>
      <c r="E104" s="3" t="s">
        <v>41</v>
      </c>
      <c r="F104" s="2" t="s">
        <v>42</v>
      </c>
      <c r="G104" s="4">
        <v>45307</v>
      </c>
      <c r="H104" s="4">
        <v>45324</v>
      </c>
      <c r="I104" s="5">
        <v>205975</v>
      </c>
      <c r="J104" s="5">
        <v>205975</v>
      </c>
      <c r="K104" s="2" t="s">
        <v>67</v>
      </c>
      <c r="L104" s="3"/>
      <c r="M104" s="2" t="s">
        <v>132</v>
      </c>
      <c r="N104" s="2">
        <f t="shared" si="11"/>
        <v>17</v>
      </c>
      <c r="P104" t="str">
        <f t="shared" si="12"/>
        <v>Recorded</v>
      </c>
    </row>
    <row r="105" spans="1:16" ht="13.5" customHeight="1" x14ac:dyDescent="0.3">
      <c r="A105" s="2" t="s">
        <v>276</v>
      </c>
      <c r="B105" s="3" t="s">
        <v>277</v>
      </c>
      <c r="C105" s="3" t="s">
        <v>25</v>
      </c>
      <c r="D105" s="3" t="s">
        <v>62</v>
      </c>
      <c r="E105" s="3" t="s">
        <v>50</v>
      </c>
      <c r="F105" s="2" t="s">
        <v>51</v>
      </c>
      <c r="G105" s="4">
        <v>45429</v>
      </c>
      <c r="H105" s="4"/>
      <c r="I105" s="5">
        <v>750970</v>
      </c>
      <c r="J105" s="2"/>
      <c r="K105" s="2" t="s">
        <v>75</v>
      </c>
      <c r="L105" s="3"/>
      <c r="M105" s="2" t="s">
        <v>44</v>
      </c>
      <c r="N105" s="2" t="str">
        <f t="shared" si="11"/>
        <v>Pending</v>
      </c>
      <c r="P105" t="str">
        <f t="shared" si="12"/>
        <v>Recorded</v>
      </c>
    </row>
    <row r="106" spans="1:16" ht="13.5" customHeight="1" x14ac:dyDescent="0.3">
      <c r="A106" s="2" t="s">
        <v>278</v>
      </c>
      <c r="B106" s="3" t="s">
        <v>279</v>
      </c>
      <c r="C106" s="3" t="s">
        <v>39</v>
      </c>
      <c r="D106" s="3" t="s">
        <v>40</v>
      </c>
      <c r="E106" s="3" t="s">
        <v>41</v>
      </c>
      <c r="F106" s="2" t="s">
        <v>143</v>
      </c>
      <c r="G106" s="4">
        <v>45324</v>
      </c>
      <c r="H106" s="4">
        <v>45335</v>
      </c>
      <c r="I106" s="5">
        <v>921609</v>
      </c>
      <c r="J106" s="5">
        <v>0</v>
      </c>
      <c r="K106" s="2" t="s">
        <v>20</v>
      </c>
      <c r="L106" s="3" t="s">
        <v>114</v>
      </c>
      <c r="M106" s="2" t="s">
        <v>144</v>
      </c>
      <c r="N106" s="2">
        <f t="shared" si="11"/>
        <v>11</v>
      </c>
      <c r="P106" t="str">
        <f t="shared" si="12"/>
        <v>Recorded</v>
      </c>
    </row>
    <row r="107" spans="1:16" ht="13.5" customHeight="1" x14ac:dyDescent="0.3">
      <c r="A107" s="2" t="s">
        <v>280</v>
      </c>
      <c r="B107" s="3" t="s">
        <v>281</v>
      </c>
      <c r="C107" s="3" t="s">
        <v>39</v>
      </c>
      <c r="D107" s="3" t="s">
        <v>56</v>
      </c>
      <c r="E107" s="3" t="s">
        <v>33</v>
      </c>
      <c r="F107" s="2" t="s">
        <v>163</v>
      </c>
      <c r="G107" s="4">
        <v>45499</v>
      </c>
      <c r="H107" s="4">
        <v>45507</v>
      </c>
      <c r="I107" s="5">
        <v>390444</v>
      </c>
      <c r="J107" s="5">
        <v>0</v>
      </c>
      <c r="K107" s="2" t="s">
        <v>20</v>
      </c>
      <c r="L107" s="3" t="s">
        <v>21</v>
      </c>
      <c r="M107" s="2" t="s">
        <v>96</v>
      </c>
      <c r="N107" s="2">
        <f t="shared" si="11"/>
        <v>8</v>
      </c>
      <c r="P107" t="str">
        <f t="shared" si="12"/>
        <v>Recorded</v>
      </c>
    </row>
    <row r="108" spans="1:16" ht="13.5" customHeight="1" x14ac:dyDescent="0.3">
      <c r="A108" s="2" t="s">
        <v>282</v>
      </c>
      <c r="B108" s="3" t="s">
        <v>283</v>
      </c>
      <c r="C108" s="3" t="s">
        <v>16</v>
      </c>
      <c r="D108" s="3" t="s">
        <v>40</v>
      </c>
      <c r="E108" s="3" t="s">
        <v>27</v>
      </c>
      <c r="F108" s="2" t="s">
        <v>120</v>
      </c>
      <c r="G108" s="4">
        <v>45607</v>
      </c>
      <c r="H108" s="4">
        <v>45609</v>
      </c>
      <c r="I108" s="5">
        <v>398350</v>
      </c>
      <c r="J108" s="5">
        <v>398350</v>
      </c>
      <c r="K108" s="2" t="s">
        <v>67</v>
      </c>
      <c r="L108" s="3"/>
      <c r="M108" s="2" t="s">
        <v>78</v>
      </c>
      <c r="N108" s="2">
        <f t="shared" si="11"/>
        <v>2</v>
      </c>
      <c r="P108" t="str">
        <f t="shared" si="12"/>
        <v>Recorded</v>
      </c>
    </row>
    <row r="109" spans="1:16" ht="13.5" customHeight="1" x14ac:dyDescent="0.3">
      <c r="A109" s="2" t="s">
        <v>284</v>
      </c>
      <c r="B109" s="3" t="s">
        <v>285</v>
      </c>
      <c r="C109" s="3" t="s">
        <v>70</v>
      </c>
      <c r="D109" s="3" t="s">
        <v>17</v>
      </c>
      <c r="E109" s="3" t="s">
        <v>41</v>
      </c>
      <c r="F109" s="2" t="s">
        <v>42</v>
      </c>
      <c r="G109" s="4">
        <v>45530</v>
      </c>
      <c r="H109" s="4">
        <v>45533</v>
      </c>
      <c r="I109" s="5">
        <v>716781</v>
      </c>
      <c r="J109" s="5">
        <v>716781</v>
      </c>
      <c r="K109" s="2" t="s">
        <v>67</v>
      </c>
      <c r="L109" s="3"/>
      <c r="M109" s="2" t="s">
        <v>53</v>
      </c>
      <c r="N109" s="2">
        <f t="shared" si="11"/>
        <v>3</v>
      </c>
      <c r="P109" t="str">
        <f t="shared" si="12"/>
        <v>Recorded</v>
      </c>
    </row>
    <row r="110" spans="1:16" ht="13.5" customHeight="1" x14ac:dyDescent="0.3">
      <c r="A110" s="2" t="s">
        <v>286</v>
      </c>
      <c r="B110" s="3" t="s">
        <v>287</v>
      </c>
      <c r="C110" s="3" t="s">
        <v>25</v>
      </c>
      <c r="D110" s="3" t="s">
        <v>56</v>
      </c>
      <c r="E110" s="3" t="s">
        <v>18</v>
      </c>
      <c r="F110" s="2" t="s">
        <v>19</v>
      </c>
      <c r="G110" s="4">
        <v>45625</v>
      </c>
      <c r="H110" s="4">
        <v>45637</v>
      </c>
      <c r="I110" s="5">
        <v>450789</v>
      </c>
      <c r="J110" s="5">
        <v>450789</v>
      </c>
      <c r="K110" s="2" t="s">
        <v>67</v>
      </c>
      <c r="L110" s="3"/>
      <c r="M110" s="2" t="s">
        <v>78</v>
      </c>
      <c r="N110" s="2">
        <f t="shared" si="11"/>
        <v>12</v>
      </c>
      <c r="P110" t="str">
        <f t="shared" si="12"/>
        <v>Recorded</v>
      </c>
    </row>
    <row r="111" spans="1:16" ht="13.5" customHeight="1" x14ac:dyDescent="0.3">
      <c r="A111" s="2" t="s">
        <v>288</v>
      </c>
      <c r="B111" s="3" t="s">
        <v>289</v>
      </c>
      <c r="C111" s="3" t="s">
        <v>16</v>
      </c>
      <c r="D111" s="3" t="s">
        <v>56</v>
      </c>
      <c r="E111" s="3" t="s">
        <v>27</v>
      </c>
      <c r="F111" s="2" t="s">
        <v>28</v>
      </c>
      <c r="G111" s="4">
        <v>45566</v>
      </c>
      <c r="H111" s="4"/>
      <c r="I111" s="5">
        <v>817675</v>
      </c>
      <c r="J111" s="2"/>
      <c r="K111" s="2" t="s">
        <v>75</v>
      </c>
      <c r="L111" s="3"/>
      <c r="M111" s="2" t="s">
        <v>78</v>
      </c>
      <c r="N111" s="2" t="str">
        <f t="shared" si="11"/>
        <v>Pending</v>
      </c>
      <c r="P111" t="str">
        <f t="shared" si="12"/>
        <v>Recorded</v>
      </c>
    </row>
    <row r="112" spans="1:16" ht="13.5" customHeight="1" x14ac:dyDescent="0.3">
      <c r="A112" s="2" t="s">
        <v>290</v>
      </c>
      <c r="B112" s="3" t="s">
        <v>291</v>
      </c>
      <c r="C112" s="3" t="s">
        <v>70</v>
      </c>
      <c r="D112" s="3" t="s">
        <v>56</v>
      </c>
      <c r="E112" s="3" t="s">
        <v>33</v>
      </c>
      <c r="F112" s="2" t="s">
        <v>163</v>
      </c>
      <c r="G112" s="4">
        <v>45366</v>
      </c>
      <c r="H112" s="4">
        <v>45376</v>
      </c>
      <c r="I112" s="5">
        <v>216615</v>
      </c>
      <c r="J112" s="5">
        <v>216615</v>
      </c>
      <c r="K112" s="2" t="s">
        <v>67</v>
      </c>
      <c r="L112" s="3"/>
      <c r="M112" s="2" t="s">
        <v>121</v>
      </c>
      <c r="N112" s="2">
        <f t="shared" si="11"/>
        <v>10</v>
      </c>
      <c r="P112" t="str">
        <f t="shared" si="12"/>
        <v>Recorded</v>
      </c>
    </row>
    <row r="113" spans="1:16" ht="13.5" customHeight="1" x14ac:dyDescent="0.3">
      <c r="A113" s="2" t="s">
        <v>292</v>
      </c>
      <c r="B113" s="3" t="s">
        <v>293</v>
      </c>
      <c r="C113" s="3" t="s">
        <v>25</v>
      </c>
      <c r="D113" s="3" t="s">
        <v>40</v>
      </c>
      <c r="E113" s="3" t="s">
        <v>41</v>
      </c>
      <c r="F113" s="2" t="s">
        <v>42</v>
      </c>
      <c r="G113" s="4">
        <v>45593</v>
      </c>
      <c r="H113" s="4">
        <v>45609</v>
      </c>
      <c r="I113" s="5">
        <v>662237</v>
      </c>
      <c r="J113" s="5">
        <v>662237</v>
      </c>
      <c r="K113" s="2" t="s">
        <v>67</v>
      </c>
      <c r="L113" s="3"/>
      <c r="M113" s="2" t="s">
        <v>96</v>
      </c>
      <c r="N113" s="2">
        <f t="shared" si="11"/>
        <v>16</v>
      </c>
      <c r="P113" t="str">
        <f t="shared" si="12"/>
        <v>Recorded</v>
      </c>
    </row>
    <row r="114" spans="1:16" ht="13.5" customHeight="1" x14ac:dyDescent="0.3">
      <c r="A114" s="2" t="s">
        <v>294</v>
      </c>
      <c r="B114" s="3" t="s">
        <v>295</v>
      </c>
      <c r="C114" s="3" t="s">
        <v>25</v>
      </c>
      <c r="D114" s="3" t="s">
        <v>62</v>
      </c>
      <c r="E114" s="3" t="s">
        <v>57</v>
      </c>
      <c r="F114" s="2" t="s">
        <v>66</v>
      </c>
      <c r="G114" s="4">
        <v>45348</v>
      </c>
      <c r="H114" s="4">
        <v>45360</v>
      </c>
      <c r="I114" s="5">
        <v>228346</v>
      </c>
      <c r="J114" s="5">
        <v>228346</v>
      </c>
      <c r="K114" s="2" t="s">
        <v>67</v>
      </c>
      <c r="L114" s="3"/>
      <c r="M114" s="2" t="s">
        <v>59</v>
      </c>
      <c r="N114" s="2">
        <f t="shared" si="11"/>
        <v>12</v>
      </c>
      <c r="P114" t="str">
        <f t="shared" si="12"/>
        <v>Recorded</v>
      </c>
    </row>
    <row r="115" spans="1:16" ht="13.5" customHeight="1" x14ac:dyDescent="0.3">
      <c r="A115" s="2" t="s">
        <v>296</v>
      </c>
      <c r="B115" s="3" t="s">
        <v>297</v>
      </c>
      <c r="C115" s="3" t="s">
        <v>25</v>
      </c>
      <c r="D115" s="3" t="s">
        <v>17</v>
      </c>
      <c r="E115" s="3" t="s">
        <v>57</v>
      </c>
      <c r="F115" s="2" t="s">
        <v>113</v>
      </c>
      <c r="G115" s="4">
        <v>45425</v>
      </c>
      <c r="H115" s="4">
        <v>45426</v>
      </c>
      <c r="I115" s="5">
        <v>9207</v>
      </c>
      <c r="J115" s="5">
        <v>9207</v>
      </c>
      <c r="K115" s="2" t="s">
        <v>67</v>
      </c>
      <c r="L115" s="3"/>
      <c r="M115" s="2" t="s">
        <v>121</v>
      </c>
      <c r="N115" s="2">
        <f t="shared" si="11"/>
        <v>1</v>
      </c>
      <c r="P115" t="str">
        <f t="shared" si="12"/>
        <v>Recorded</v>
      </c>
    </row>
    <row r="116" spans="1:16" ht="13.5" customHeight="1" x14ac:dyDescent="0.3">
      <c r="A116" s="2" t="s">
        <v>298</v>
      </c>
      <c r="B116" s="3" t="s">
        <v>299</v>
      </c>
      <c r="C116" s="3" t="s">
        <v>25</v>
      </c>
      <c r="D116" s="3" t="s">
        <v>40</v>
      </c>
      <c r="E116" s="3" t="s">
        <v>33</v>
      </c>
      <c r="F116" s="2" t="s">
        <v>163</v>
      </c>
      <c r="G116" s="4">
        <v>45514</v>
      </c>
      <c r="H116" s="4">
        <v>45532</v>
      </c>
      <c r="I116" s="5">
        <v>103119</v>
      </c>
      <c r="J116" s="5">
        <v>103119</v>
      </c>
      <c r="K116" s="2" t="s">
        <v>67</v>
      </c>
      <c r="L116" s="3"/>
      <c r="M116" s="2" t="s">
        <v>63</v>
      </c>
      <c r="N116" s="2">
        <f t="shared" si="11"/>
        <v>18</v>
      </c>
      <c r="P116" t="str">
        <f t="shared" si="12"/>
        <v>Recorded</v>
      </c>
    </row>
    <row r="117" spans="1:16" ht="13.5" customHeight="1" x14ac:dyDescent="0.3">
      <c r="A117" s="2" t="s">
        <v>300</v>
      </c>
      <c r="B117" s="3" t="s">
        <v>301</v>
      </c>
      <c r="C117" s="3" t="s">
        <v>39</v>
      </c>
      <c r="D117" s="3" t="s">
        <v>17</v>
      </c>
      <c r="E117" s="3" t="s">
        <v>41</v>
      </c>
      <c r="F117" s="2" t="s">
        <v>42</v>
      </c>
      <c r="G117" s="4">
        <v>45545</v>
      </c>
      <c r="H117" s="4">
        <v>45566</v>
      </c>
      <c r="I117" s="5">
        <v>656761</v>
      </c>
      <c r="J117" s="5">
        <v>656761</v>
      </c>
      <c r="K117" s="2" t="s">
        <v>67</v>
      </c>
      <c r="L117" s="3"/>
      <c r="M117" s="2" t="s">
        <v>63</v>
      </c>
      <c r="N117" s="2">
        <f t="shared" si="11"/>
        <v>21</v>
      </c>
      <c r="P117" t="str">
        <f t="shared" si="12"/>
        <v>Recorded</v>
      </c>
    </row>
    <row r="118" spans="1:16" ht="13.5" customHeight="1" x14ac:dyDescent="0.3">
      <c r="A118" s="2" t="s">
        <v>302</v>
      </c>
      <c r="B118" s="3" t="s">
        <v>303</v>
      </c>
      <c r="C118" s="3" t="s">
        <v>25</v>
      </c>
      <c r="D118" s="3" t="s">
        <v>26</v>
      </c>
      <c r="E118" s="3" t="s">
        <v>57</v>
      </c>
      <c r="F118" s="2" t="s">
        <v>113</v>
      </c>
      <c r="G118" s="4">
        <v>45606</v>
      </c>
      <c r="H118" s="4">
        <v>45615</v>
      </c>
      <c r="I118" s="5">
        <v>158546</v>
      </c>
      <c r="J118" s="5">
        <v>158546</v>
      </c>
      <c r="K118" s="2" t="s">
        <v>67</v>
      </c>
      <c r="L118" s="3"/>
      <c r="M118" s="2" t="s">
        <v>93</v>
      </c>
      <c r="N118" s="2">
        <f t="shared" si="11"/>
        <v>9</v>
      </c>
      <c r="P118" t="str">
        <f t="shared" si="12"/>
        <v>Recorded</v>
      </c>
    </row>
    <row r="119" spans="1:16" ht="13.5" customHeight="1" x14ac:dyDescent="0.3">
      <c r="A119" s="2" t="s">
        <v>304</v>
      </c>
      <c r="B119" s="3" t="s">
        <v>305</v>
      </c>
      <c r="C119" s="3" t="s">
        <v>25</v>
      </c>
      <c r="D119" s="3" t="s">
        <v>62</v>
      </c>
      <c r="E119" s="3" t="s">
        <v>50</v>
      </c>
      <c r="F119" s="2" t="s">
        <v>51</v>
      </c>
      <c r="G119" s="4">
        <v>45559</v>
      </c>
      <c r="H119" s="4">
        <v>45566</v>
      </c>
      <c r="I119" s="5">
        <v>487104</v>
      </c>
      <c r="J119" s="5">
        <v>487104</v>
      </c>
      <c r="K119" s="2" t="s">
        <v>67</v>
      </c>
      <c r="L119" s="3"/>
      <c r="M119" s="2" t="s">
        <v>22</v>
      </c>
      <c r="N119" s="2">
        <f t="shared" si="11"/>
        <v>7</v>
      </c>
      <c r="P119" t="str">
        <f t="shared" si="12"/>
        <v>Recorded</v>
      </c>
    </row>
    <row r="120" spans="1:16" ht="13.5" customHeight="1" x14ac:dyDescent="0.3">
      <c r="A120" s="2" t="s">
        <v>306</v>
      </c>
      <c r="B120" s="3" t="s">
        <v>307</v>
      </c>
      <c r="C120" s="3" t="s">
        <v>25</v>
      </c>
      <c r="D120" s="3" t="s">
        <v>62</v>
      </c>
      <c r="E120" s="3" t="s">
        <v>41</v>
      </c>
      <c r="F120" s="2" t="s">
        <v>143</v>
      </c>
      <c r="G120" s="4">
        <v>45352</v>
      </c>
      <c r="H120" s="4"/>
      <c r="I120" s="5">
        <v>449525</v>
      </c>
      <c r="J120" s="2"/>
      <c r="K120" s="2" t="s">
        <v>75</v>
      </c>
      <c r="L120" s="3"/>
      <c r="M120" s="2" t="s">
        <v>93</v>
      </c>
      <c r="N120" s="2" t="str">
        <f t="shared" si="11"/>
        <v>Pending</v>
      </c>
      <c r="P120" t="str">
        <f t="shared" si="12"/>
        <v>Recorded</v>
      </c>
    </row>
    <row r="121" spans="1:16" ht="13.5" customHeight="1" x14ac:dyDescent="0.3">
      <c r="A121" s="2" t="s">
        <v>308</v>
      </c>
      <c r="B121" s="3" t="s">
        <v>309</v>
      </c>
      <c r="C121" s="3" t="s">
        <v>25</v>
      </c>
      <c r="D121" s="3" t="s">
        <v>17</v>
      </c>
      <c r="E121" s="3" t="s">
        <v>18</v>
      </c>
      <c r="F121" s="2" t="s">
        <v>105</v>
      </c>
      <c r="G121" s="4">
        <v>45309</v>
      </c>
      <c r="H121" s="4">
        <v>45316</v>
      </c>
      <c r="I121" s="2"/>
      <c r="J121" s="5">
        <v>136004</v>
      </c>
      <c r="K121" s="2" t="s">
        <v>35</v>
      </c>
      <c r="L121" s="3"/>
      <c r="M121" s="2" t="s">
        <v>78</v>
      </c>
      <c r="N121" s="2">
        <f t="shared" si="11"/>
        <v>7</v>
      </c>
      <c r="P121" t="str">
        <f t="shared" si="12"/>
        <v>Missing</v>
      </c>
    </row>
    <row r="122" spans="1:16" ht="13.5" customHeight="1" x14ac:dyDescent="0.3">
      <c r="A122" s="2" t="s">
        <v>310</v>
      </c>
      <c r="B122" s="3" t="s">
        <v>311</v>
      </c>
      <c r="C122" s="3" t="s">
        <v>39</v>
      </c>
      <c r="D122" s="3" t="s">
        <v>56</v>
      </c>
      <c r="E122" s="3" t="s">
        <v>57</v>
      </c>
      <c r="F122" s="2" t="s">
        <v>113</v>
      </c>
      <c r="G122" s="4">
        <v>45443</v>
      </c>
      <c r="H122" s="4">
        <v>45463</v>
      </c>
      <c r="I122" s="5">
        <v>527846</v>
      </c>
      <c r="J122" s="5">
        <v>527846</v>
      </c>
      <c r="K122" s="2" t="s">
        <v>67</v>
      </c>
      <c r="L122" s="3"/>
      <c r="M122" s="2" t="s">
        <v>36</v>
      </c>
      <c r="N122" s="2">
        <f t="shared" si="11"/>
        <v>20</v>
      </c>
      <c r="P122" t="str">
        <f t="shared" si="12"/>
        <v>Recorded</v>
      </c>
    </row>
    <row r="123" spans="1:16" ht="13.5" customHeight="1" x14ac:dyDescent="0.3">
      <c r="A123" s="2" t="s">
        <v>312</v>
      </c>
      <c r="B123" s="3" t="s">
        <v>313</v>
      </c>
      <c r="C123" s="3" t="s">
        <v>70</v>
      </c>
      <c r="D123" s="3" t="s">
        <v>40</v>
      </c>
      <c r="E123" s="3" t="s">
        <v>50</v>
      </c>
      <c r="F123" s="2" t="s">
        <v>81</v>
      </c>
      <c r="G123" s="4">
        <v>45499</v>
      </c>
      <c r="H123" s="4">
        <v>45506</v>
      </c>
      <c r="I123" s="5">
        <v>459624</v>
      </c>
      <c r="J123" s="5">
        <v>459624</v>
      </c>
      <c r="K123" s="2" t="s">
        <v>67</v>
      </c>
      <c r="L123" s="3"/>
      <c r="M123" s="2" t="s">
        <v>22</v>
      </c>
      <c r="N123" s="2">
        <f t="shared" si="11"/>
        <v>7</v>
      </c>
      <c r="P123" t="str">
        <f t="shared" si="12"/>
        <v>Recorded</v>
      </c>
    </row>
    <row r="124" spans="1:16" ht="13.5" customHeight="1" x14ac:dyDescent="0.3">
      <c r="A124" s="2" t="s">
        <v>314</v>
      </c>
      <c r="B124" s="3" t="s">
        <v>315</v>
      </c>
      <c r="C124" s="3" t="s">
        <v>70</v>
      </c>
      <c r="D124" s="3" t="s">
        <v>17</v>
      </c>
      <c r="E124" s="3" t="s">
        <v>33</v>
      </c>
      <c r="F124" s="2" t="s">
        <v>34</v>
      </c>
      <c r="G124" s="4">
        <v>45297</v>
      </c>
      <c r="H124" s="4">
        <v>45307</v>
      </c>
      <c r="I124" s="5">
        <v>695820</v>
      </c>
      <c r="J124" s="5">
        <v>695820</v>
      </c>
      <c r="K124" s="2" t="s">
        <v>67</v>
      </c>
      <c r="L124" s="3"/>
      <c r="M124" s="2" t="s">
        <v>59</v>
      </c>
      <c r="N124" s="2">
        <f t="shared" si="11"/>
        <v>10</v>
      </c>
      <c r="P124" t="str">
        <f t="shared" si="12"/>
        <v>Recorded</v>
      </c>
    </row>
    <row r="125" spans="1:16" ht="13.5" customHeight="1" x14ac:dyDescent="0.3">
      <c r="A125" s="2" t="s">
        <v>316</v>
      </c>
      <c r="B125" s="3" t="s">
        <v>317</v>
      </c>
      <c r="C125" s="3" t="s">
        <v>39</v>
      </c>
      <c r="D125" s="3" t="s">
        <v>56</v>
      </c>
      <c r="E125" s="3" t="s">
        <v>18</v>
      </c>
      <c r="F125" s="2" t="s">
        <v>19</v>
      </c>
      <c r="G125" s="4">
        <v>45413</v>
      </c>
      <c r="H125" s="4">
        <v>45414</v>
      </c>
      <c r="I125" s="5">
        <v>704542</v>
      </c>
      <c r="J125" s="5">
        <v>704542</v>
      </c>
      <c r="K125" s="2" t="s">
        <v>67</v>
      </c>
      <c r="L125" s="3"/>
      <c r="M125" s="2" t="s">
        <v>22</v>
      </c>
      <c r="N125" s="2">
        <f t="shared" si="11"/>
        <v>1</v>
      </c>
      <c r="P125" t="str">
        <f t="shared" si="12"/>
        <v>Recorded</v>
      </c>
    </row>
    <row r="126" spans="1:16" ht="13.5" customHeight="1" x14ac:dyDescent="0.3">
      <c r="A126" s="2" t="s">
        <v>318</v>
      </c>
      <c r="B126" s="3" t="s">
        <v>319</v>
      </c>
      <c r="C126" s="3" t="s">
        <v>25</v>
      </c>
      <c r="D126" s="3" t="s">
        <v>26</v>
      </c>
      <c r="E126" s="3" t="s">
        <v>50</v>
      </c>
      <c r="F126" s="2" t="s">
        <v>51</v>
      </c>
      <c r="G126" s="4">
        <v>45596</v>
      </c>
      <c r="H126" s="4">
        <v>45599</v>
      </c>
      <c r="I126" s="5">
        <v>80103</v>
      </c>
      <c r="J126" s="5">
        <v>80103</v>
      </c>
      <c r="K126" s="2" t="s">
        <v>67</v>
      </c>
      <c r="L126" s="3"/>
      <c r="M126" s="2" t="s">
        <v>121</v>
      </c>
      <c r="N126" s="2">
        <f t="shared" si="11"/>
        <v>3</v>
      </c>
      <c r="P126" t="str">
        <f t="shared" si="12"/>
        <v>Recorded</v>
      </c>
    </row>
    <row r="127" spans="1:16" ht="13.5" customHeight="1" x14ac:dyDescent="0.3">
      <c r="A127" s="2" t="s">
        <v>320</v>
      </c>
      <c r="B127" s="3" t="s">
        <v>321</v>
      </c>
      <c r="C127" s="3" t="s">
        <v>70</v>
      </c>
      <c r="D127" s="3" t="s">
        <v>17</v>
      </c>
      <c r="E127" s="3" t="s">
        <v>41</v>
      </c>
      <c r="F127" s="2" t="s">
        <v>42</v>
      </c>
      <c r="G127" s="4">
        <v>45563</v>
      </c>
      <c r="H127" s="4">
        <v>45564</v>
      </c>
      <c r="I127" s="5">
        <v>907177</v>
      </c>
      <c r="J127" s="5">
        <v>0</v>
      </c>
      <c r="K127" s="2" t="s">
        <v>20</v>
      </c>
      <c r="L127" s="3" t="s">
        <v>106</v>
      </c>
      <c r="M127" s="2" t="s">
        <v>36</v>
      </c>
      <c r="N127" s="2">
        <f t="shared" si="11"/>
        <v>1</v>
      </c>
      <c r="P127" t="str">
        <f t="shared" si="12"/>
        <v>Recorded</v>
      </c>
    </row>
    <row r="128" spans="1:16" ht="13.5" customHeight="1" x14ac:dyDescent="0.3">
      <c r="A128" s="2" t="s">
        <v>322</v>
      </c>
      <c r="B128" s="3" t="s">
        <v>323</v>
      </c>
      <c r="C128" s="3" t="s">
        <v>16</v>
      </c>
      <c r="D128" s="3" t="s">
        <v>56</v>
      </c>
      <c r="E128" s="3" t="s">
        <v>50</v>
      </c>
      <c r="F128" s="2" t="s">
        <v>51</v>
      </c>
      <c r="G128" s="4">
        <v>45333</v>
      </c>
      <c r="H128" s="4">
        <v>45336</v>
      </c>
      <c r="I128" s="5">
        <v>482467</v>
      </c>
      <c r="J128" s="5">
        <v>0</v>
      </c>
      <c r="K128" s="2" t="s">
        <v>20</v>
      </c>
      <c r="L128" s="3" t="s">
        <v>21</v>
      </c>
      <c r="M128" s="2" t="s">
        <v>144</v>
      </c>
      <c r="N128" s="2">
        <f t="shared" si="11"/>
        <v>3</v>
      </c>
      <c r="P128" t="str">
        <f t="shared" si="12"/>
        <v>Recorded</v>
      </c>
    </row>
    <row r="129" spans="1:16" ht="13.5" customHeight="1" x14ac:dyDescent="0.3">
      <c r="A129" s="2" t="s">
        <v>324</v>
      </c>
      <c r="B129" s="3" t="s">
        <v>325</v>
      </c>
      <c r="C129" s="3" t="s">
        <v>25</v>
      </c>
      <c r="D129" s="3" t="s">
        <v>26</v>
      </c>
      <c r="E129" s="3" t="s">
        <v>74</v>
      </c>
      <c r="F129" s="2" t="s">
        <v>34</v>
      </c>
      <c r="G129" s="4">
        <v>45492</v>
      </c>
      <c r="H129" s="4">
        <v>45502</v>
      </c>
      <c r="I129" s="5">
        <v>89581</v>
      </c>
      <c r="J129" s="5">
        <v>0</v>
      </c>
      <c r="K129" s="2" t="s">
        <v>20</v>
      </c>
      <c r="L129" s="3" t="s">
        <v>21</v>
      </c>
      <c r="M129" s="2" t="s">
        <v>96</v>
      </c>
      <c r="N129" s="2">
        <f t="shared" si="11"/>
        <v>10</v>
      </c>
      <c r="P129" t="str">
        <f t="shared" si="12"/>
        <v>Recorded</v>
      </c>
    </row>
    <row r="130" spans="1:16" ht="13.5" customHeight="1" x14ac:dyDescent="0.3">
      <c r="A130" s="2" t="s">
        <v>326</v>
      </c>
      <c r="B130" s="3" t="s">
        <v>327</v>
      </c>
      <c r="C130" s="3" t="s">
        <v>25</v>
      </c>
      <c r="D130" s="3" t="s">
        <v>40</v>
      </c>
      <c r="E130" s="3" t="s">
        <v>41</v>
      </c>
      <c r="F130" s="2" t="s">
        <v>42</v>
      </c>
      <c r="G130" s="4">
        <v>45312</v>
      </c>
      <c r="H130" s="4">
        <v>45332</v>
      </c>
      <c r="I130" s="5">
        <v>89390</v>
      </c>
      <c r="J130" s="5">
        <v>60989</v>
      </c>
      <c r="K130" s="2" t="s">
        <v>35</v>
      </c>
      <c r="L130" s="3"/>
      <c r="M130" s="2" t="s">
        <v>63</v>
      </c>
      <c r="N130" s="2">
        <f t="shared" si="11"/>
        <v>20</v>
      </c>
      <c r="P130" t="str">
        <f t="shared" si="12"/>
        <v>Recorded</v>
      </c>
    </row>
    <row r="131" spans="1:16" ht="13.5" customHeight="1" x14ac:dyDescent="0.3">
      <c r="A131" s="2" t="s">
        <v>328</v>
      </c>
      <c r="B131" s="3" t="s">
        <v>329</v>
      </c>
      <c r="C131" s="3" t="s">
        <v>25</v>
      </c>
      <c r="D131" s="3" t="s">
        <v>40</v>
      </c>
      <c r="E131" s="3" t="s">
        <v>41</v>
      </c>
      <c r="F131" s="2" t="s">
        <v>143</v>
      </c>
      <c r="G131" s="4">
        <v>45329</v>
      </c>
      <c r="H131" s="4"/>
      <c r="I131" s="5">
        <v>106702</v>
      </c>
      <c r="J131" s="2"/>
      <c r="K131" s="2" t="s">
        <v>75</v>
      </c>
      <c r="L131" s="3"/>
      <c r="M131" s="2" t="s">
        <v>96</v>
      </c>
      <c r="N131" s="2" t="str">
        <f t="shared" ref="N131:N194" si="13">IF(H131="","Pending",H131-G131)</f>
        <v>Pending</v>
      </c>
      <c r="P131" t="str">
        <f t="shared" ref="P131:P194" si="14">IF(I131 = "", "Missing", "Recorded")</f>
        <v>Recorded</v>
      </c>
    </row>
    <row r="132" spans="1:16" ht="13.5" customHeight="1" x14ac:dyDescent="0.3">
      <c r="A132" s="2" t="s">
        <v>330</v>
      </c>
      <c r="B132" s="3" t="s">
        <v>331</v>
      </c>
      <c r="C132" s="3" t="s">
        <v>70</v>
      </c>
      <c r="D132" s="3" t="s">
        <v>17</v>
      </c>
      <c r="E132" s="3" t="s">
        <v>74</v>
      </c>
      <c r="F132" s="2" t="s">
        <v>34</v>
      </c>
      <c r="G132" s="4">
        <v>45486</v>
      </c>
      <c r="H132" s="4">
        <v>45500</v>
      </c>
      <c r="I132" s="5">
        <v>869937</v>
      </c>
      <c r="J132" s="5">
        <v>869937</v>
      </c>
      <c r="K132" s="2" t="s">
        <v>67</v>
      </c>
      <c r="L132" s="3"/>
      <c r="M132" s="2" t="s">
        <v>44</v>
      </c>
      <c r="N132" s="2">
        <f t="shared" si="13"/>
        <v>14</v>
      </c>
      <c r="P132" t="str">
        <f t="shared" si="14"/>
        <v>Recorded</v>
      </c>
    </row>
    <row r="133" spans="1:16" ht="13.5" customHeight="1" x14ac:dyDescent="0.3">
      <c r="A133" s="2" t="s">
        <v>332</v>
      </c>
      <c r="B133" s="3" t="s">
        <v>333</v>
      </c>
      <c r="C133" s="3" t="s">
        <v>70</v>
      </c>
      <c r="D133" s="3" t="s">
        <v>62</v>
      </c>
      <c r="E133" s="3" t="s">
        <v>50</v>
      </c>
      <c r="F133" s="2" t="s">
        <v>81</v>
      </c>
      <c r="G133" s="4">
        <v>45315</v>
      </c>
      <c r="H133" s="4">
        <v>45327</v>
      </c>
      <c r="I133" s="5">
        <v>806772</v>
      </c>
      <c r="J133" s="5">
        <v>806772</v>
      </c>
      <c r="K133" s="2" t="s">
        <v>67</v>
      </c>
      <c r="L133" s="3"/>
      <c r="M133" s="2" t="s">
        <v>63</v>
      </c>
      <c r="N133" s="2">
        <f t="shared" si="13"/>
        <v>12</v>
      </c>
      <c r="P133" t="str">
        <f t="shared" si="14"/>
        <v>Recorded</v>
      </c>
    </row>
    <row r="134" spans="1:16" ht="13.5" customHeight="1" x14ac:dyDescent="0.3">
      <c r="A134" s="2" t="s">
        <v>334</v>
      </c>
      <c r="B134" s="3" t="s">
        <v>335</v>
      </c>
      <c r="C134" s="3" t="s">
        <v>25</v>
      </c>
      <c r="D134" s="3" t="s">
        <v>62</v>
      </c>
      <c r="E134" s="3" t="s">
        <v>33</v>
      </c>
      <c r="F134" s="2" t="s">
        <v>34</v>
      </c>
      <c r="G134" s="4">
        <v>45533</v>
      </c>
      <c r="H134" s="4">
        <v>45534</v>
      </c>
      <c r="I134" s="5">
        <v>665347</v>
      </c>
      <c r="J134" s="5">
        <v>665347</v>
      </c>
      <c r="K134" s="2" t="s">
        <v>67</v>
      </c>
      <c r="L134" s="3"/>
      <c r="M134" s="2" t="s">
        <v>96</v>
      </c>
      <c r="N134" s="2">
        <f t="shared" si="13"/>
        <v>1</v>
      </c>
      <c r="P134" t="str">
        <f t="shared" si="14"/>
        <v>Recorded</v>
      </c>
    </row>
    <row r="135" spans="1:16" ht="13.5" customHeight="1" x14ac:dyDescent="0.3">
      <c r="A135" s="2" t="s">
        <v>336</v>
      </c>
      <c r="B135" s="3" t="s">
        <v>337</v>
      </c>
      <c r="C135" s="3" t="s">
        <v>70</v>
      </c>
      <c r="D135" s="3" t="s">
        <v>62</v>
      </c>
      <c r="E135" s="3" t="s">
        <v>50</v>
      </c>
      <c r="F135" s="2" t="s">
        <v>51</v>
      </c>
      <c r="G135" s="4">
        <v>45352</v>
      </c>
      <c r="H135" s="4">
        <v>45373</v>
      </c>
      <c r="I135" s="5">
        <v>584771</v>
      </c>
      <c r="J135" s="5">
        <v>584771</v>
      </c>
      <c r="K135" s="2" t="s">
        <v>67</v>
      </c>
      <c r="L135" s="3"/>
      <c r="M135" s="2" t="s">
        <v>30</v>
      </c>
      <c r="N135" s="2">
        <f t="shared" si="13"/>
        <v>21</v>
      </c>
      <c r="P135" t="str">
        <f t="shared" si="14"/>
        <v>Recorded</v>
      </c>
    </row>
    <row r="136" spans="1:16" ht="13.5" customHeight="1" x14ac:dyDescent="0.3">
      <c r="A136" s="2" t="s">
        <v>338</v>
      </c>
      <c r="B136" s="3" t="s">
        <v>339</v>
      </c>
      <c r="C136" s="3" t="s">
        <v>70</v>
      </c>
      <c r="D136" s="3" t="s">
        <v>26</v>
      </c>
      <c r="E136" s="3" t="s">
        <v>57</v>
      </c>
      <c r="F136" s="2" t="s">
        <v>66</v>
      </c>
      <c r="G136" s="4">
        <v>45451</v>
      </c>
      <c r="H136" s="4">
        <v>45467</v>
      </c>
      <c r="I136" s="5">
        <v>841912</v>
      </c>
      <c r="J136" s="5">
        <v>841912</v>
      </c>
      <c r="K136" s="2" t="s">
        <v>67</v>
      </c>
      <c r="L136" s="3"/>
      <c r="M136" s="2" t="s">
        <v>59</v>
      </c>
      <c r="N136" s="2">
        <f t="shared" si="13"/>
        <v>16</v>
      </c>
      <c r="P136" t="str">
        <f t="shared" si="14"/>
        <v>Recorded</v>
      </c>
    </row>
    <row r="137" spans="1:16" ht="13.5" customHeight="1" x14ac:dyDescent="0.3">
      <c r="A137" s="2" t="s">
        <v>340</v>
      </c>
      <c r="B137" s="3" t="s">
        <v>341</v>
      </c>
      <c r="C137" s="3" t="s">
        <v>70</v>
      </c>
      <c r="D137" s="3" t="s">
        <v>26</v>
      </c>
      <c r="E137" s="3" t="s">
        <v>41</v>
      </c>
      <c r="F137" s="2" t="s">
        <v>143</v>
      </c>
      <c r="G137" s="4">
        <v>45567</v>
      </c>
      <c r="H137" s="4">
        <v>45581</v>
      </c>
      <c r="I137" s="5">
        <v>757092</v>
      </c>
      <c r="J137" s="5">
        <v>0</v>
      </c>
      <c r="K137" s="2" t="s">
        <v>20</v>
      </c>
      <c r="L137" s="3" t="s">
        <v>71</v>
      </c>
      <c r="M137" s="2" t="s">
        <v>144</v>
      </c>
      <c r="N137" s="2">
        <f t="shared" si="13"/>
        <v>14</v>
      </c>
      <c r="P137" t="str">
        <f t="shared" si="14"/>
        <v>Recorded</v>
      </c>
    </row>
    <row r="138" spans="1:16" ht="13.5" customHeight="1" x14ac:dyDescent="0.3">
      <c r="A138" s="2" t="s">
        <v>342</v>
      </c>
      <c r="B138" s="3" t="s">
        <v>343</v>
      </c>
      <c r="C138" s="3" t="s">
        <v>25</v>
      </c>
      <c r="D138" s="3" t="s">
        <v>26</v>
      </c>
      <c r="E138" s="3" t="s">
        <v>57</v>
      </c>
      <c r="F138" s="2" t="s">
        <v>58</v>
      </c>
      <c r="G138" s="4">
        <v>45451</v>
      </c>
      <c r="H138" s="4">
        <v>45464</v>
      </c>
      <c r="I138" s="5">
        <v>140259</v>
      </c>
      <c r="J138" s="5">
        <v>140259</v>
      </c>
      <c r="K138" s="2" t="s">
        <v>67</v>
      </c>
      <c r="L138" s="3"/>
      <c r="M138" s="2" t="s">
        <v>78</v>
      </c>
      <c r="N138" s="2">
        <f t="shared" si="13"/>
        <v>13</v>
      </c>
      <c r="P138" t="str">
        <f t="shared" si="14"/>
        <v>Recorded</v>
      </c>
    </row>
    <row r="139" spans="1:16" ht="13.5" customHeight="1" x14ac:dyDescent="0.3">
      <c r="A139" s="2" t="s">
        <v>344</v>
      </c>
      <c r="B139" s="3" t="s">
        <v>345</v>
      </c>
      <c r="C139" s="3" t="s">
        <v>25</v>
      </c>
      <c r="D139" s="3" t="s">
        <v>26</v>
      </c>
      <c r="E139" s="3" t="s">
        <v>41</v>
      </c>
      <c r="F139" s="2" t="s">
        <v>42</v>
      </c>
      <c r="G139" s="4">
        <v>45597</v>
      </c>
      <c r="H139" s="4">
        <v>45603</v>
      </c>
      <c r="I139" s="5">
        <v>418711</v>
      </c>
      <c r="J139" s="5">
        <v>418711</v>
      </c>
      <c r="K139" s="2" t="s">
        <v>67</v>
      </c>
      <c r="L139" s="3"/>
      <c r="M139" s="2" t="s">
        <v>59</v>
      </c>
      <c r="N139" s="2">
        <f t="shared" si="13"/>
        <v>6</v>
      </c>
      <c r="P139" t="str">
        <f t="shared" si="14"/>
        <v>Recorded</v>
      </c>
    </row>
    <row r="140" spans="1:16" ht="13.5" customHeight="1" x14ac:dyDescent="0.3">
      <c r="A140" s="2" t="s">
        <v>346</v>
      </c>
      <c r="B140" s="3" t="s">
        <v>347</v>
      </c>
      <c r="C140" s="3" t="s">
        <v>39</v>
      </c>
      <c r="D140" s="3" t="s">
        <v>62</v>
      </c>
      <c r="E140" s="3" t="s">
        <v>27</v>
      </c>
      <c r="F140" s="2" t="s">
        <v>120</v>
      </c>
      <c r="G140" s="4">
        <v>45363</v>
      </c>
      <c r="H140" s="4"/>
      <c r="I140" s="5">
        <v>109698</v>
      </c>
      <c r="J140" s="2"/>
      <c r="K140" s="2" t="s">
        <v>75</v>
      </c>
      <c r="L140" s="3"/>
      <c r="M140" s="2" t="s">
        <v>78</v>
      </c>
      <c r="N140" s="2" t="str">
        <f t="shared" si="13"/>
        <v>Pending</v>
      </c>
      <c r="P140" t="str">
        <f t="shared" si="14"/>
        <v>Recorded</v>
      </c>
    </row>
    <row r="141" spans="1:16" ht="13.5" customHeight="1" x14ac:dyDescent="0.3">
      <c r="A141" s="2" t="s">
        <v>348</v>
      </c>
      <c r="B141" s="3" t="s">
        <v>349</v>
      </c>
      <c r="C141" s="3" t="s">
        <v>25</v>
      </c>
      <c r="D141" s="3" t="s">
        <v>40</v>
      </c>
      <c r="E141" s="3" t="s">
        <v>18</v>
      </c>
      <c r="F141" s="2" t="s">
        <v>19</v>
      </c>
      <c r="G141" s="4">
        <v>45469</v>
      </c>
      <c r="H141" s="4">
        <v>45485</v>
      </c>
      <c r="I141" s="5">
        <v>588569</v>
      </c>
      <c r="J141" s="5">
        <v>588569</v>
      </c>
      <c r="K141" s="2" t="s">
        <v>67</v>
      </c>
      <c r="L141" s="3"/>
      <c r="M141" s="2" t="s">
        <v>36</v>
      </c>
      <c r="N141" s="2">
        <f t="shared" si="13"/>
        <v>16</v>
      </c>
      <c r="P141" t="str">
        <f t="shared" si="14"/>
        <v>Recorded</v>
      </c>
    </row>
    <row r="142" spans="1:16" ht="13.5" customHeight="1" x14ac:dyDescent="0.3">
      <c r="A142" s="2" t="s">
        <v>350</v>
      </c>
      <c r="B142" s="3" t="s">
        <v>351</v>
      </c>
      <c r="C142" s="3" t="s">
        <v>39</v>
      </c>
      <c r="D142" s="3" t="s">
        <v>26</v>
      </c>
      <c r="E142" s="3" t="s">
        <v>57</v>
      </c>
      <c r="F142" s="2" t="s">
        <v>66</v>
      </c>
      <c r="G142" s="4">
        <v>45321</v>
      </c>
      <c r="H142" s="4">
        <v>45326</v>
      </c>
      <c r="I142" s="5">
        <v>588254</v>
      </c>
      <c r="J142" s="5">
        <v>588254</v>
      </c>
      <c r="K142" s="2" t="s">
        <v>67</v>
      </c>
      <c r="L142" s="3"/>
      <c r="M142" s="2" t="s">
        <v>22</v>
      </c>
      <c r="N142" s="2">
        <f t="shared" si="13"/>
        <v>5</v>
      </c>
      <c r="P142" t="str">
        <f t="shared" si="14"/>
        <v>Recorded</v>
      </c>
    </row>
    <row r="143" spans="1:16" ht="13.5" customHeight="1" x14ac:dyDescent="0.3">
      <c r="A143" s="2" t="s">
        <v>352</v>
      </c>
      <c r="B143" s="3" t="s">
        <v>353</v>
      </c>
      <c r="C143" s="3" t="s">
        <v>70</v>
      </c>
      <c r="D143" s="3" t="s">
        <v>62</v>
      </c>
      <c r="E143" s="3" t="s">
        <v>41</v>
      </c>
      <c r="F143" s="2" t="s">
        <v>42</v>
      </c>
      <c r="G143" s="4">
        <v>45613</v>
      </c>
      <c r="H143" s="4">
        <v>45623</v>
      </c>
      <c r="I143" s="5">
        <v>377229</v>
      </c>
      <c r="J143" s="5">
        <v>0</v>
      </c>
      <c r="K143" s="2" t="s">
        <v>20</v>
      </c>
      <c r="L143" s="3" t="s">
        <v>114</v>
      </c>
      <c r="M143" s="2" t="s">
        <v>144</v>
      </c>
      <c r="N143" s="2">
        <f t="shared" si="13"/>
        <v>10</v>
      </c>
      <c r="P143" t="str">
        <f t="shared" si="14"/>
        <v>Recorded</v>
      </c>
    </row>
    <row r="144" spans="1:16" ht="13.5" customHeight="1" x14ac:dyDescent="0.3">
      <c r="A144" s="2" t="s">
        <v>354</v>
      </c>
      <c r="B144" s="3" t="s">
        <v>355</v>
      </c>
      <c r="C144" s="3" t="s">
        <v>25</v>
      </c>
      <c r="D144" s="3" t="s">
        <v>56</v>
      </c>
      <c r="E144" s="3" t="s">
        <v>27</v>
      </c>
      <c r="F144" s="2" t="s">
        <v>120</v>
      </c>
      <c r="G144" s="4">
        <v>45551</v>
      </c>
      <c r="H144" s="4">
        <v>45561</v>
      </c>
      <c r="I144" s="5">
        <v>741183</v>
      </c>
      <c r="J144" s="5">
        <v>416251</v>
      </c>
      <c r="K144" s="2" t="s">
        <v>35</v>
      </c>
      <c r="L144" s="3"/>
      <c r="M144" s="2" t="s">
        <v>93</v>
      </c>
      <c r="N144" s="2">
        <f t="shared" si="13"/>
        <v>10</v>
      </c>
      <c r="P144" t="str">
        <f t="shared" si="14"/>
        <v>Recorded</v>
      </c>
    </row>
    <row r="145" spans="1:16" ht="13.5" customHeight="1" x14ac:dyDescent="0.3">
      <c r="A145" s="2" t="s">
        <v>356</v>
      </c>
      <c r="B145" s="3" t="s">
        <v>357</v>
      </c>
      <c r="C145" s="3" t="s">
        <v>16</v>
      </c>
      <c r="D145" s="3" t="s">
        <v>17</v>
      </c>
      <c r="E145" s="3" t="s">
        <v>57</v>
      </c>
      <c r="F145" s="2" t="s">
        <v>66</v>
      </c>
      <c r="G145" s="4">
        <v>45644</v>
      </c>
      <c r="H145" s="4">
        <v>45646</v>
      </c>
      <c r="I145" s="5">
        <v>827232</v>
      </c>
      <c r="J145" s="5">
        <v>0</v>
      </c>
      <c r="K145" s="2" t="s">
        <v>20</v>
      </c>
      <c r="L145" s="3" t="s">
        <v>52</v>
      </c>
      <c r="M145" s="2" t="s">
        <v>63</v>
      </c>
      <c r="N145" s="2">
        <f t="shared" si="13"/>
        <v>2</v>
      </c>
      <c r="P145" t="str">
        <f t="shared" si="14"/>
        <v>Recorded</v>
      </c>
    </row>
    <row r="146" spans="1:16" ht="13.5" customHeight="1" x14ac:dyDescent="0.3">
      <c r="A146" s="2" t="s">
        <v>358</v>
      </c>
      <c r="B146" s="3" t="s">
        <v>359</v>
      </c>
      <c r="C146" s="3" t="s">
        <v>70</v>
      </c>
      <c r="D146" s="3" t="s">
        <v>40</v>
      </c>
      <c r="E146" s="3" t="s">
        <v>27</v>
      </c>
      <c r="F146" s="2" t="s">
        <v>120</v>
      </c>
      <c r="G146" s="4">
        <v>45573</v>
      </c>
      <c r="H146" s="4">
        <v>45588</v>
      </c>
      <c r="I146" s="5">
        <v>804129</v>
      </c>
      <c r="J146" s="5">
        <v>804129</v>
      </c>
      <c r="K146" s="2" t="s">
        <v>67</v>
      </c>
      <c r="L146" s="3"/>
      <c r="M146" s="2" t="s">
        <v>117</v>
      </c>
      <c r="N146" s="2">
        <f t="shared" si="13"/>
        <v>15</v>
      </c>
      <c r="P146" t="str">
        <f t="shared" si="14"/>
        <v>Recorded</v>
      </c>
    </row>
    <row r="147" spans="1:16" ht="13.5" customHeight="1" x14ac:dyDescent="0.3">
      <c r="A147" s="2" t="s">
        <v>360</v>
      </c>
      <c r="B147" s="3" t="s">
        <v>361</v>
      </c>
      <c r="C147" s="3" t="s">
        <v>25</v>
      </c>
      <c r="D147" s="3" t="s">
        <v>56</v>
      </c>
      <c r="E147" s="3" t="s">
        <v>18</v>
      </c>
      <c r="F147" s="2" t="s">
        <v>19</v>
      </c>
      <c r="G147" s="4">
        <v>45392</v>
      </c>
      <c r="H147" s="4">
        <v>45404</v>
      </c>
      <c r="I147" s="2"/>
      <c r="J147" s="5">
        <v>765230</v>
      </c>
      <c r="K147" s="2" t="s">
        <v>67</v>
      </c>
      <c r="L147" s="3"/>
      <c r="M147" s="2" t="s">
        <v>117</v>
      </c>
      <c r="N147" s="2">
        <f t="shared" si="13"/>
        <v>12</v>
      </c>
      <c r="P147" t="str">
        <f t="shared" si="14"/>
        <v>Missing</v>
      </c>
    </row>
    <row r="148" spans="1:16" ht="13.5" customHeight="1" x14ac:dyDescent="0.3">
      <c r="A148" s="2" t="s">
        <v>362</v>
      </c>
      <c r="B148" s="3" t="s">
        <v>363</v>
      </c>
      <c r="C148" s="3" t="s">
        <v>70</v>
      </c>
      <c r="D148" s="3" t="s">
        <v>40</v>
      </c>
      <c r="E148" s="3" t="s">
        <v>57</v>
      </c>
      <c r="F148" s="2" t="s">
        <v>113</v>
      </c>
      <c r="G148" s="4">
        <v>45486</v>
      </c>
      <c r="H148" s="4">
        <v>45504</v>
      </c>
      <c r="I148" s="5">
        <v>423264</v>
      </c>
      <c r="J148" s="5">
        <v>423264</v>
      </c>
      <c r="K148" s="2" t="s">
        <v>67</v>
      </c>
      <c r="L148" s="3"/>
      <c r="M148" s="2" t="s">
        <v>53</v>
      </c>
      <c r="N148" s="2">
        <f t="shared" si="13"/>
        <v>18</v>
      </c>
      <c r="P148" t="str">
        <f t="shared" si="14"/>
        <v>Recorded</v>
      </c>
    </row>
    <row r="149" spans="1:16" ht="13.5" customHeight="1" x14ac:dyDescent="0.3">
      <c r="A149" s="2" t="s">
        <v>364</v>
      </c>
      <c r="B149" s="3" t="s">
        <v>365</v>
      </c>
      <c r="C149" s="3" t="s">
        <v>70</v>
      </c>
      <c r="D149" s="3" t="s">
        <v>56</v>
      </c>
      <c r="E149" s="3" t="s">
        <v>74</v>
      </c>
      <c r="F149" s="2" t="s">
        <v>34</v>
      </c>
      <c r="G149" s="4">
        <v>45521</v>
      </c>
      <c r="H149" s="4">
        <v>45530</v>
      </c>
      <c r="I149" s="5">
        <v>50322</v>
      </c>
      <c r="J149" s="5">
        <v>37159</v>
      </c>
      <c r="K149" s="2" t="s">
        <v>35</v>
      </c>
      <c r="L149" s="3"/>
      <c r="M149" s="2" t="s">
        <v>36</v>
      </c>
      <c r="N149" s="2">
        <f t="shared" si="13"/>
        <v>9</v>
      </c>
      <c r="P149" t="str">
        <f t="shared" si="14"/>
        <v>Recorded</v>
      </c>
    </row>
    <row r="150" spans="1:16" ht="13.5" customHeight="1" x14ac:dyDescent="0.3">
      <c r="A150" s="2" t="s">
        <v>366</v>
      </c>
      <c r="B150" s="3" t="s">
        <v>367</v>
      </c>
      <c r="C150" s="3" t="s">
        <v>70</v>
      </c>
      <c r="D150" s="3" t="s">
        <v>62</v>
      </c>
      <c r="E150" s="3" t="s">
        <v>50</v>
      </c>
      <c r="F150" s="2" t="s">
        <v>81</v>
      </c>
      <c r="G150" s="4">
        <v>45334</v>
      </c>
      <c r="H150" s="4">
        <v>45352</v>
      </c>
      <c r="I150" s="5">
        <v>336965</v>
      </c>
      <c r="J150" s="5">
        <v>232107</v>
      </c>
      <c r="K150" s="2" t="s">
        <v>35</v>
      </c>
      <c r="L150" s="3"/>
      <c r="M150" s="2" t="s">
        <v>88</v>
      </c>
      <c r="N150" s="2">
        <f t="shared" si="13"/>
        <v>18</v>
      </c>
      <c r="P150" t="str">
        <f t="shared" si="14"/>
        <v>Recorded</v>
      </c>
    </row>
    <row r="151" spans="1:16" ht="13.5" customHeight="1" x14ac:dyDescent="0.3">
      <c r="A151" s="2" t="s">
        <v>368</v>
      </c>
      <c r="B151" s="3" t="s">
        <v>369</v>
      </c>
      <c r="C151" s="3" t="s">
        <v>16</v>
      </c>
      <c r="D151" s="3" t="s">
        <v>17</v>
      </c>
      <c r="E151" s="3" t="s">
        <v>33</v>
      </c>
      <c r="F151" s="2" t="s">
        <v>47</v>
      </c>
      <c r="G151" s="4">
        <v>45303</v>
      </c>
      <c r="H151" s="4">
        <v>45306</v>
      </c>
      <c r="I151" s="5">
        <v>252118</v>
      </c>
      <c r="J151" s="5">
        <v>252118</v>
      </c>
      <c r="K151" s="2" t="s">
        <v>67</v>
      </c>
      <c r="L151" s="3"/>
      <c r="M151" s="2" t="s">
        <v>117</v>
      </c>
      <c r="N151" s="2">
        <f t="shared" si="13"/>
        <v>3</v>
      </c>
      <c r="P151" t="str">
        <f t="shared" si="14"/>
        <v>Recorded</v>
      </c>
    </row>
    <row r="152" spans="1:16" ht="13.5" customHeight="1" x14ac:dyDescent="0.3">
      <c r="A152" s="2" t="s">
        <v>370</v>
      </c>
      <c r="B152" s="3" t="s">
        <v>371</v>
      </c>
      <c r="C152" s="3" t="s">
        <v>39</v>
      </c>
      <c r="D152" s="3" t="s">
        <v>40</v>
      </c>
      <c r="E152" s="3" t="s">
        <v>41</v>
      </c>
      <c r="F152" s="2" t="s">
        <v>42</v>
      </c>
      <c r="G152" s="4">
        <v>45546</v>
      </c>
      <c r="H152" s="4">
        <v>45564</v>
      </c>
      <c r="I152" s="5">
        <v>429154</v>
      </c>
      <c r="J152" s="5">
        <v>429154</v>
      </c>
      <c r="K152" s="2" t="s">
        <v>67</v>
      </c>
      <c r="L152" s="3"/>
      <c r="M152" s="2" t="s">
        <v>22</v>
      </c>
      <c r="N152" s="2">
        <f t="shared" si="13"/>
        <v>18</v>
      </c>
      <c r="P152" t="str">
        <f t="shared" si="14"/>
        <v>Recorded</v>
      </c>
    </row>
    <row r="153" spans="1:16" ht="13.5" customHeight="1" x14ac:dyDescent="0.3">
      <c r="A153" s="2" t="s">
        <v>372</v>
      </c>
      <c r="B153" s="3" t="s">
        <v>373</v>
      </c>
      <c r="C153" s="3" t="s">
        <v>25</v>
      </c>
      <c r="D153" s="3" t="s">
        <v>26</v>
      </c>
      <c r="E153" s="3" t="s">
        <v>74</v>
      </c>
      <c r="F153" s="2" t="s">
        <v>47</v>
      </c>
      <c r="G153" s="4">
        <v>45615</v>
      </c>
      <c r="H153" s="4">
        <v>45632</v>
      </c>
      <c r="I153" s="5">
        <v>863808</v>
      </c>
      <c r="J153" s="5">
        <v>863808</v>
      </c>
      <c r="K153" s="2" t="s">
        <v>67</v>
      </c>
      <c r="L153" s="3"/>
      <c r="M153" s="2" t="s">
        <v>93</v>
      </c>
      <c r="N153" s="2">
        <f t="shared" si="13"/>
        <v>17</v>
      </c>
      <c r="P153" t="str">
        <f t="shared" si="14"/>
        <v>Recorded</v>
      </c>
    </row>
    <row r="154" spans="1:16" ht="13.5" customHeight="1" x14ac:dyDescent="0.3">
      <c r="A154" s="2" t="s">
        <v>374</v>
      </c>
      <c r="B154" s="3" t="s">
        <v>375</v>
      </c>
      <c r="C154" s="3" t="s">
        <v>70</v>
      </c>
      <c r="D154" s="3" t="s">
        <v>62</v>
      </c>
      <c r="E154" s="3" t="s">
        <v>41</v>
      </c>
      <c r="F154" s="2" t="s">
        <v>42</v>
      </c>
      <c r="G154" s="4">
        <v>45482</v>
      </c>
      <c r="H154" s="4">
        <v>45498</v>
      </c>
      <c r="I154" s="5">
        <v>401198</v>
      </c>
      <c r="J154" s="5">
        <v>401198</v>
      </c>
      <c r="K154" s="2" t="s">
        <v>67</v>
      </c>
      <c r="L154" s="3"/>
      <c r="M154" s="2" t="s">
        <v>121</v>
      </c>
      <c r="N154" s="2">
        <f t="shared" si="13"/>
        <v>16</v>
      </c>
      <c r="P154" t="str">
        <f t="shared" si="14"/>
        <v>Recorded</v>
      </c>
    </row>
    <row r="155" spans="1:16" ht="13.5" customHeight="1" x14ac:dyDescent="0.3">
      <c r="A155" s="2" t="s">
        <v>376</v>
      </c>
      <c r="B155" s="3" t="s">
        <v>377</v>
      </c>
      <c r="C155" s="3" t="s">
        <v>25</v>
      </c>
      <c r="D155" s="3" t="s">
        <v>17</v>
      </c>
      <c r="E155" s="3" t="s">
        <v>50</v>
      </c>
      <c r="F155" s="2" t="s">
        <v>51</v>
      </c>
      <c r="G155" s="4">
        <v>45532</v>
      </c>
      <c r="H155" s="4">
        <v>45545</v>
      </c>
      <c r="I155" s="5">
        <v>159945</v>
      </c>
      <c r="J155" s="5">
        <v>0</v>
      </c>
      <c r="K155" s="2" t="s">
        <v>20</v>
      </c>
      <c r="L155" s="3" t="s">
        <v>71</v>
      </c>
      <c r="M155" s="2" t="s">
        <v>30</v>
      </c>
      <c r="N155" s="2">
        <f t="shared" si="13"/>
        <v>13</v>
      </c>
      <c r="P155" t="str">
        <f t="shared" si="14"/>
        <v>Recorded</v>
      </c>
    </row>
    <row r="156" spans="1:16" ht="13.5" customHeight="1" x14ac:dyDescent="0.3">
      <c r="A156" s="2" t="s">
        <v>378</v>
      </c>
      <c r="B156" s="3" t="s">
        <v>379</v>
      </c>
      <c r="C156" s="3" t="s">
        <v>70</v>
      </c>
      <c r="D156" s="3" t="s">
        <v>62</v>
      </c>
      <c r="E156" s="3" t="s">
        <v>33</v>
      </c>
      <c r="F156" s="2" t="s">
        <v>34</v>
      </c>
      <c r="G156" s="4">
        <v>45651</v>
      </c>
      <c r="H156" s="4">
        <v>45666</v>
      </c>
      <c r="I156" s="5">
        <v>722328</v>
      </c>
      <c r="J156" s="5">
        <v>722328</v>
      </c>
      <c r="K156" s="2" t="s">
        <v>67</v>
      </c>
      <c r="L156" s="3"/>
      <c r="M156" s="2" t="s">
        <v>78</v>
      </c>
      <c r="N156" s="2">
        <f t="shared" si="13"/>
        <v>15</v>
      </c>
      <c r="P156" t="str">
        <f t="shared" si="14"/>
        <v>Recorded</v>
      </c>
    </row>
    <row r="157" spans="1:16" ht="13.5" customHeight="1" x14ac:dyDescent="0.3">
      <c r="A157" s="2" t="s">
        <v>380</v>
      </c>
      <c r="B157" s="3" t="s">
        <v>381</v>
      </c>
      <c r="C157" s="3" t="s">
        <v>39</v>
      </c>
      <c r="D157" s="3" t="s">
        <v>40</v>
      </c>
      <c r="E157" s="3" t="s">
        <v>33</v>
      </c>
      <c r="F157" s="2" t="s">
        <v>47</v>
      </c>
      <c r="G157" s="4">
        <v>45593</v>
      </c>
      <c r="H157" s="4">
        <v>45598</v>
      </c>
      <c r="I157" s="5">
        <v>12292</v>
      </c>
      <c r="J157" s="5">
        <v>12292</v>
      </c>
      <c r="K157" s="2" t="s">
        <v>67</v>
      </c>
      <c r="L157" s="3"/>
      <c r="M157" s="2" t="s">
        <v>53</v>
      </c>
      <c r="N157" s="2">
        <f t="shared" si="13"/>
        <v>5</v>
      </c>
      <c r="P157" t="str">
        <f t="shared" si="14"/>
        <v>Recorded</v>
      </c>
    </row>
    <row r="158" spans="1:16" ht="13.5" customHeight="1" x14ac:dyDescent="0.3">
      <c r="A158" s="2" t="s">
        <v>382</v>
      </c>
      <c r="B158" s="3" t="s">
        <v>383</v>
      </c>
      <c r="C158" s="3" t="s">
        <v>25</v>
      </c>
      <c r="D158" s="3" t="s">
        <v>62</v>
      </c>
      <c r="E158" s="3" t="s">
        <v>74</v>
      </c>
      <c r="F158" s="2" t="s">
        <v>47</v>
      </c>
      <c r="G158" s="4">
        <v>45412</v>
      </c>
      <c r="H158" s="4">
        <v>45416</v>
      </c>
      <c r="I158" s="5">
        <v>223186</v>
      </c>
      <c r="J158" s="5">
        <v>0</v>
      </c>
      <c r="K158" s="2" t="s">
        <v>20</v>
      </c>
      <c r="L158" s="3" t="s">
        <v>106</v>
      </c>
      <c r="M158" s="2" t="s">
        <v>78</v>
      </c>
      <c r="N158" s="2">
        <f t="shared" si="13"/>
        <v>4</v>
      </c>
      <c r="P158" t="str">
        <f t="shared" si="14"/>
        <v>Recorded</v>
      </c>
    </row>
    <row r="159" spans="1:16" ht="13.5" customHeight="1" x14ac:dyDescent="0.3">
      <c r="A159" s="2" t="s">
        <v>384</v>
      </c>
      <c r="B159" s="3" t="s">
        <v>385</v>
      </c>
      <c r="C159" s="3" t="s">
        <v>39</v>
      </c>
      <c r="D159" s="3" t="s">
        <v>62</v>
      </c>
      <c r="E159" s="3" t="s">
        <v>57</v>
      </c>
      <c r="F159" s="2" t="s">
        <v>66</v>
      </c>
      <c r="G159" s="4">
        <v>45504</v>
      </c>
      <c r="H159" s="4">
        <v>45506</v>
      </c>
      <c r="I159" s="5">
        <v>363054</v>
      </c>
      <c r="J159" s="5">
        <v>0</v>
      </c>
      <c r="K159" s="2" t="s">
        <v>20</v>
      </c>
      <c r="L159" s="3" t="s">
        <v>114</v>
      </c>
      <c r="M159" s="2" t="s">
        <v>88</v>
      </c>
      <c r="N159" s="2">
        <f t="shared" si="13"/>
        <v>2</v>
      </c>
      <c r="P159" t="str">
        <f t="shared" si="14"/>
        <v>Recorded</v>
      </c>
    </row>
    <row r="160" spans="1:16" ht="13.5" customHeight="1" x14ac:dyDescent="0.3">
      <c r="A160" s="2" t="s">
        <v>386</v>
      </c>
      <c r="B160" s="3" t="s">
        <v>387</v>
      </c>
      <c r="C160" s="3" t="s">
        <v>16</v>
      </c>
      <c r="D160" s="3" t="s">
        <v>56</v>
      </c>
      <c r="E160" s="3" t="s">
        <v>50</v>
      </c>
      <c r="F160" s="2" t="s">
        <v>51</v>
      </c>
      <c r="G160" s="4">
        <v>45588</v>
      </c>
      <c r="H160" s="4">
        <v>45609</v>
      </c>
      <c r="I160" s="5">
        <v>492460</v>
      </c>
      <c r="J160" s="5">
        <v>492460</v>
      </c>
      <c r="K160" s="2" t="s">
        <v>67</v>
      </c>
      <c r="L160" s="3"/>
      <c r="M160" s="2" t="s">
        <v>36</v>
      </c>
      <c r="N160" s="2">
        <f t="shared" si="13"/>
        <v>21</v>
      </c>
      <c r="P160" t="str">
        <f t="shared" si="14"/>
        <v>Recorded</v>
      </c>
    </row>
    <row r="161" spans="1:16" ht="13.5" customHeight="1" x14ac:dyDescent="0.3">
      <c r="A161" s="2" t="s">
        <v>388</v>
      </c>
      <c r="B161" s="3" t="s">
        <v>389</v>
      </c>
      <c r="C161" s="3" t="s">
        <v>70</v>
      </c>
      <c r="D161" s="3" t="s">
        <v>62</v>
      </c>
      <c r="E161" s="3" t="s">
        <v>27</v>
      </c>
      <c r="F161" s="2" t="s">
        <v>28</v>
      </c>
      <c r="G161" s="4">
        <v>45364</v>
      </c>
      <c r="H161" s="4">
        <v>45385</v>
      </c>
      <c r="I161" s="5">
        <v>645621</v>
      </c>
      <c r="J161" s="5">
        <v>645621</v>
      </c>
      <c r="K161" s="2" t="s">
        <v>67</v>
      </c>
      <c r="L161" s="3"/>
      <c r="M161" s="2" t="s">
        <v>30</v>
      </c>
      <c r="N161" s="2">
        <f t="shared" si="13"/>
        <v>21</v>
      </c>
      <c r="P161" t="str">
        <f t="shared" si="14"/>
        <v>Recorded</v>
      </c>
    </row>
    <row r="162" spans="1:16" ht="13.5" customHeight="1" x14ac:dyDescent="0.3">
      <c r="A162" s="2" t="s">
        <v>390</v>
      </c>
      <c r="B162" s="3" t="s">
        <v>391</v>
      </c>
      <c r="C162" s="3" t="s">
        <v>70</v>
      </c>
      <c r="D162" s="3" t="s">
        <v>17</v>
      </c>
      <c r="E162" s="3" t="s">
        <v>27</v>
      </c>
      <c r="F162" s="2" t="s">
        <v>120</v>
      </c>
      <c r="G162" s="4">
        <v>45346</v>
      </c>
      <c r="H162" s="4">
        <v>45356</v>
      </c>
      <c r="I162" s="5">
        <v>67582</v>
      </c>
      <c r="J162" s="5">
        <v>28671</v>
      </c>
      <c r="K162" s="2" t="s">
        <v>35</v>
      </c>
      <c r="L162" s="3"/>
      <c r="M162" s="2" t="s">
        <v>59</v>
      </c>
      <c r="N162" s="2">
        <f t="shared" si="13"/>
        <v>10</v>
      </c>
      <c r="P162" t="str">
        <f t="shared" si="14"/>
        <v>Recorded</v>
      </c>
    </row>
    <row r="163" spans="1:16" ht="13.5" customHeight="1" x14ac:dyDescent="0.3">
      <c r="A163" s="2" t="s">
        <v>392</v>
      </c>
      <c r="B163" s="3" t="s">
        <v>393</v>
      </c>
      <c r="C163" s="3" t="s">
        <v>25</v>
      </c>
      <c r="D163" s="3" t="s">
        <v>40</v>
      </c>
      <c r="E163" s="3" t="s">
        <v>57</v>
      </c>
      <c r="F163" s="2" t="s">
        <v>113</v>
      </c>
      <c r="G163" s="4">
        <v>45637</v>
      </c>
      <c r="H163" s="4">
        <v>45657</v>
      </c>
      <c r="I163" s="5">
        <v>281426</v>
      </c>
      <c r="J163" s="5">
        <v>281426</v>
      </c>
      <c r="K163" s="2" t="s">
        <v>67</v>
      </c>
      <c r="L163" s="3"/>
      <c r="M163" s="2" t="s">
        <v>132</v>
      </c>
      <c r="N163" s="2">
        <f t="shared" si="13"/>
        <v>20</v>
      </c>
      <c r="P163" t="str">
        <f t="shared" si="14"/>
        <v>Recorded</v>
      </c>
    </row>
    <row r="164" spans="1:16" ht="13.5" customHeight="1" x14ac:dyDescent="0.3">
      <c r="A164" s="2" t="s">
        <v>394</v>
      </c>
      <c r="B164" s="3" t="s">
        <v>395</v>
      </c>
      <c r="C164" s="3" t="s">
        <v>25</v>
      </c>
      <c r="D164" s="3" t="s">
        <v>17</v>
      </c>
      <c r="E164" s="3" t="s">
        <v>74</v>
      </c>
      <c r="F164" s="2" t="s">
        <v>34</v>
      </c>
      <c r="G164" s="4">
        <v>45643</v>
      </c>
      <c r="H164" s="4">
        <v>45655</v>
      </c>
      <c r="I164" s="5">
        <v>944199</v>
      </c>
      <c r="J164" s="5">
        <v>0</v>
      </c>
      <c r="K164" s="2" t="s">
        <v>20</v>
      </c>
      <c r="L164" s="3" t="s">
        <v>21</v>
      </c>
      <c r="M164" s="2" t="s">
        <v>96</v>
      </c>
      <c r="N164" s="2">
        <f t="shared" si="13"/>
        <v>12</v>
      </c>
      <c r="P164" t="str">
        <f t="shared" si="14"/>
        <v>Recorded</v>
      </c>
    </row>
    <row r="165" spans="1:16" ht="13.5" customHeight="1" x14ac:dyDescent="0.3">
      <c r="A165" s="2" t="s">
        <v>396</v>
      </c>
      <c r="B165" s="3" t="s">
        <v>397</v>
      </c>
      <c r="C165" s="3" t="s">
        <v>70</v>
      </c>
      <c r="D165" s="3" t="s">
        <v>56</v>
      </c>
      <c r="E165" s="3" t="s">
        <v>27</v>
      </c>
      <c r="F165" s="2" t="s">
        <v>120</v>
      </c>
      <c r="G165" s="4">
        <v>45292</v>
      </c>
      <c r="H165" s="4">
        <v>45307</v>
      </c>
      <c r="I165" s="5">
        <v>905017</v>
      </c>
      <c r="J165" s="5">
        <v>905017</v>
      </c>
      <c r="K165" s="2" t="s">
        <v>67</v>
      </c>
      <c r="L165" s="3"/>
      <c r="M165" s="2" t="s">
        <v>36</v>
      </c>
      <c r="N165" s="2">
        <f t="shared" si="13"/>
        <v>15</v>
      </c>
      <c r="P165" t="str">
        <f t="shared" si="14"/>
        <v>Recorded</v>
      </c>
    </row>
    <row r="166" spans="1:16" ht="13.5" customHeight="1" x14ac:dyDescent="0.3">
      <c r="A166" s="2" t="s">
        <v>398</v>
      </c>
      <c r="B166" s="3" t="s">
        <v>399</v>
      </c>
      <c r="C166" s="3" t="s">
        <v>70</v>
      </c>
      <c r="D166" s="3" t="s">
        <v>17</v>
      </c>
      <c r="E166" s="3" t="s">
        <v>27</v>
      </c>
      <c r="F166" s="2" t="s">
        <v>120</v>
      </c>
      <c r="G166" s="4">
        <v>45335</v>
      </c>
      <c r="H166" s="4">
        <v>45350</v>
      </c>
      <c r="I166" s="5">
        <v>163616</v>
      </c>
      <c r="J166" s="5">
        <v>163616</v>
      </c>
      <c r="K166" s="2" t="s">
        <v>67</v>
      </c>
      <c r="L166" s="3"/>
      <c r="M166" s="2" t="s">
        <v>22</v>
      </c>
      <c r="N166" s="2">
        <f t="shared" si="13"/>
        <v>15</v>
      </c>
      <c r="P166" t="str">
        <f t="shared" si="14"/>
        <v>Recorded</v>
      </c>
    </row>
    <row r="167" spans="1:16" ht="13.5" customHeight="1" x14ac:dyDescent="0.3">
      <c r="A167" s="2" t="s">
        <v>400</v>
      </c>
      <c r="B167" s="3" t="s">
        <v>401</v>
      </c>
      <c r="C167" s="3" t="s">
        <v>25</v>
      </c>
      <c r="D167" s="3" t="s">
        <v>62</v>
      </c>
      <c r="E167" s="3" t="s">
        <v>41</v>
      </c>
      <c r="F167" s="2" t="s">
        <v>42</v>
      </c>
      <c r="G167" s="4">
        <v>45451</v>
      </c>
      <c r="H167" s="4">
        <v>45465</v>
      </c>
      <c r="I167" s="5">
        <v>182060</v>
      </c>
      <c r="J167" s="5">
        <v>0</v>
      </c>
      <c r="K167" s="2" t="s">
        <v>20</v>
      </c>
      <c r="L167" s="3" t="s">
        <v>106</v>
      </c>
      <c r="M167" s="2" t="s">
        <v>53</v>
      </c>
      <c r="N167" s="2">
        <f t="shared" si="13"/>
        <v>14</v>
      </c>
      <c r="P167" t="str">
        <f t="shared" si="14"/>
        <v>Recorded</v>
      </c>
    </row>
    <row r="168" spans="1:16" ht="13.5" customHeight="1" x14ac:dyDescent="0.3">
      <c r="A168" s="2" t="s">
        <v>402</v>
      </c>
      <c r="B168" s="3" t="s">
        <v>403</v>
      </c>
      <c r="C168" s="3" t="s">
        <v>25</v>
      </c>
      <c r="D168" s="3" t="s">
        <v>26</v>
      </c>
      <c r="E168" s="3" t="s">
        <v>33</v>
      </c>
      <c r="F168" s="2" t="s">
        <v>163</v>
      </c>
      <c r="G168" s="4">
        <v>45354</v>
      </c>
      <c r="H168" s="4">
        <v>45373</v>
      </c>
      <c r="I168" s="5">
        <v>575906</v>
      </c>
      <c r="J168" s="5">
        <v>575906</v>
      </c>
      <c r="K168" s="2" t="s">
        <v>67</v>
      </c>
      <c r="L168" s="3"/>
      <c r="M168" s="2" t="s">
        <v>36</v>
      </c>
      <c r="N168" s="2">
        <f t="shared" si="13"/>
        <v>19</v>
      </c>
      <c r="P168" t="str">
        <f t="shared" si="14"/>
        <v>Recorded</v>
      </c>
    </row>
    <row r="169" spans="1:16" ht="13.5" customHeight="1" x14ac:dyDescent="0.3">
      <c r="A169" s="2" t="s">
        <v>404</v>
      </c>
      <c r="B169" s="3" t="s">
        <v>405</v>
      </c>
      <c r="C169" s="3" t="s">
        <v>39</v>
      </c>
      <c r="D169" s="3" t="s">
        <v>56</v>
      </c>
      <c r="E169" s="3" t="s">
        <v>33</v>
      </c>
      <c r="F169" s="2" t="s">
        <v>47</v>
      </c>
      <c r="G169" s="4">
        <v>45309</v>
      </c>
      <c r="H169" s="4">
        <v>45316</v>
      </c>
      <c r="I169" s="5">
        <v>277500</v>
      </c>
      <c r="J169" s="5">
        <v>277500</v>
      </c>
      <c r="K169" s="2" t="s">
        <v>67</v>
      </c>
      <c r="L169" s="3"/>
      <c r="M169" s="2" t="s">
        <v>93</v>
      </c>
      <c r="N169" s="2">
        <f t="shared" si="13"/>
        <v>7</v>
      </c>
      <c r="P169" t="str">
        <f t="shared" si="14"/>
        <v>Recorded</v>
      </c>
    </row>
    <row r="170" spans="1:16" ht="13.5" customHeight="1" x14ac:dyDescent="0.3">
      <c r="A170" s="2" t="s">
        <v>406</v>
      </c>
      <c r="B170" s="3" t="s">
        <v>407</v>
      </c>
      <c r="C170" s="3" t="s">
        <v>25</v>
      </c>
      <c r="D170" s="3" t="s">
        <v>40</v>
      </c>
      <c r="E170" s="3" t="s">
        <v>33</v>
      </c>
      <c r="F170" s="2" t="s">
        <v>47</v>
      </c>
      <c r="G170" s="4">
        <v>45457</v>
      </c>
      <c r="H170" s="4">
        <v>45469</v>
      </c>
      <c r="I170" s="5">
        <v>645623</v>
      </c>
      <c r="J170" s="5">
        <v>464252</v>
      </c>
      <c r="K170" s="2" t="s">
        <v>35</v>
      </c>
      <c r="L170" s="3"/>
      <c r="M170" s="2" t="s">
        <v>78</v>
      </c>
      <c r="N170" s="2">
        <f t="shared" si="13"/>
        <v>12</v>
      </c>
      <c r="P170" t="str">
        <f t="shared" si="14"/>
        <v>Recorded</v>
      </c>
    </row>
    <row r="171" spans="1:16" ht="13.5" customHeight="1" x14ac:dyDescent="0.3">
      <c r="A171" s="2" t="s">
        <v>408</v>
      </c>
      <c r="B171" s="3" t="s">
        <v>409</v>
      </c>
      <c r="C171" s="3" t="s">
        <v>25</v>
      </c>
      <c r="D171" s="3" t="s">
        <v>56</v>
      </c>
      <c r="E171" s="3" t="s">
        <v>74</v>
      </c>
      <c r="F171" s="2" t="s">
        <v>47</v>
      </c>
      <c r="G171" s="4">
        <v>45497</v>
      </c>
      <c r="H171" s="4"/>
      <c r="I171" s="5">
        <v>64154</v>
      </c>
      <c r="J171" s="2"/>
      <c r="K171" s="2" t="s">
        <v>75</v>
      </c>
      <c r="L171" s="3"/>
      <c r="M171" s="2" t="s">
        <v>22</v>
      </c>
      <c r="N171" s="2" t="str">
        <f t="shared" si="13"/>
        <v>Pending</v>
      </c>
      <c r="P171" t="str">
        <f t="shared" si="14"/>
        <v>Recorded</v>
      </c>
    </row>
    <row r="172" spans="1:16" ht="13.5" customHeight="1" x14ac:dyDescent="0.3">
      <c r="A172" s="2" t="s">
        <v>410</v>
      </c>
      <c r="B172" s="3" t="s">
        <v>411</v>
      </c>
      <c r="C172" s="3" t="s">
        <v>70</v>
      </c>
      <c r="D172" s="3" t="s">
        <v>56</v>
      </c>
      <c r="E172" s="3" t="s">
        <v>18</v>
      </c>
      <c r="F172" s="2" t="s">
        <v>105</v>
      </c>
      <c r="G172" s="4">
        <v>45603</v>
      </c>
      <c r="H172" s="4">
        <v>45627</v>
      </c>
      <c r="I172" s="5">
        <v>414737</v>
      </c>
      <c r="J172" s="5">
        <v>142315</v>
      </c>
      <c r="K172" s="2" t="s">
        <v>35</v>
      </c>
      <c r="L172" s="3"/>
      <c r="M172" s="2" t="s">
        <v>63</v>
      </c>
      <c r="N172" s="2">
        <f t="shared" si="13"/>
        <v>24</v>
      </c>
      <c r="P172" t="str">
        <f t="shared" si="14"/>
        <v>Recorded</v>
      </c>
    </row>
    <row r="173" spans="1:16" ht="13.5" customHeight="1" x14ac:dyDescent="0.3">
      <c r="A173" s="2" t="s">
        <v>412</v>
      </c>
      <c r="B173" s="3" t="s">
        <v>413</v>
      </c>
      <c r="C173" s="3" t="s">
        <v>16</v>
      </c>
      <c r="D173" s="3" t="s">
        <v>17</v>
      </c>
      <c r="E173" s="3" t="s">
        <v>27</v>
      </c>
      <c r="F173" s="2" t="s">
        <v>28</v>
      </c>
      <c r="G173" s="4">
        <v>45537</v>
      </c>
      <c r="H173" s="4">
        <v>45541</v>
      </c>
      <c r="I173" s="5">
        <v>368717</v>
      </c>
      <c r="J173" s="5">
        <v>258036</v>
      </c>
      <c r="K173" s="2" t="s">
        <v>35</v>
      </c>
      <c r="L173" s="3"/>
      <c r="M173" s="2" t="s">
        <v>59</v>
      </c>
      <c r="N173" s="2">
        <f t="shared" si="13"/>
        <v>4</v>
      </c>
      <c r="P173" t="str">
        <f t="shared" si="14"/>
        <v>Recorded</v>
      </c>
    </row>
    <row r="174" spans="1:16" ht="13.5" customHeight="1" x14ac:dyDescent="0.3">
      <c r="A174" s="2" t="s">
        <v>414</v>
      </c>
      <c r="B174" s="3" t="s">
        <v>415</v>
      </c>
      <c r="C174" s="3" t="s">
        <v>70</v>
      </c>
      <c r="D174" s="3" t="s">
        <v>17</v>
      </c>
      <c r="E174" s="3" t="s">
        <v>41</v>
      </c>
      <c r="F174" s="2" t="s">
        <v>143</v>
      </c>
      <c r="G174" s="4">
        <v>45521</v>
      </c>
      <c r="H174" s="4"/>
      <c r="I174" s="5">
        <v>396928</v>
      </c>
      <c r="J174" s="2"/>
      <c r="K174" s="2" t="s">
        <v>75</v>
      </c>
      <c r="L174" s="3"/>
      <c r="M174" s="2" t="s">
        <v>44</v>
      </c>
      <c r="N174" s="2" t="str">
        <f t="shared" si="13"/>
        <v>Pending</v>
      </c>
      <c r="P174" t="str">
        <f t="shared" si="14"/>
        <v>Recorded</v>
      </c>
    </row>
    <row r="175" spans="1:16" ht="13.5" customHeight="1" x14ac:dyDescent="0.3">
      <c r="A175" s="2" t="s">
        <v>416</v>
      </c>
      <c r="B175" s="3" t="s">
        <v>417</v>
      </c>
      <c r="C175" s="3" t="s">
        <v>70</v>
      </c>
      <c r="D175" s="3" t="s">
        <v>26</v>
      </c>
      <c r="E175" s="3" t="s">
        <v>74</v>
      </c>
      <c r="F175" s="2" t="s">
        <v>47</v>
      </c>
      <c r="G175" s="4">
        <v>45450</v>
      </c>
      <c r="H175" s="4">
        <v>45460</v>
      </c>
      <c r="I175" s="5">
        <v>920572</v>
      </c>
      <c r="J175" s="5">
        <v>0</v>
      </c>
      <c r="K175" s="2" t="s">
        <v>20</v>
      </c>
      <c r="L175" s="3" t="s">
        <v>114</v>
      </c>
      <c r="M175" s="2" t="s">
        <v>44</v>
      </c>
      <c r="N175" s="2">
        <f t="shared" si="13"/>
        <v>10</v>
      </c>
      <c r="P175" t="str">
        <f t="shared" si="14"/>
        <v>Recorded</v>
      </c>
    </row>
    <row r="176" spans="1:16" ht="13.5" customHeight="1" x14ac:dyDescent="0.3">
      <c r="A176" s="2" t="s">
        <v>418</v>
      </c>
      <c r="B176" s="3" t="s">
        <v>419</v>
      </c>
      <c r="C176" s="3" t="s">
        <v>25</v>
      </c>
      <c r="D176" s="3" t="s">
        <v>40</v>
      </c>
      <c r="E176" s="3" t="s">
        <v>18</v>
      </c>
      <c r="F176" s="2" t="s">
        <v>19</v>
      </c>
      <c r="G176" s="4">
        <v>45652</v>
      </c>
      <c r="H176" s="4"/>
      <c r="I176" s="5">
        <v>655319</v>
      </c>
      <c r="J176" s="2"/>
      <c r="K176" s="2" t="s">
        <v>75</v>
      </c>
      <c r="L176" s="3"/>
      <c r="M176" s="2" t="s">
        <v>22</v>
      </c>
      <c r="N176" s="2" t="str">
        <f t="shared" si="13"/>
        <v>Pending</v>
      </c>
      <c r="P176" t="str">
        <f t="shared" si="14"/>
        <v>Recorded</v>
      </c>
    </row>
    <row r="177" spans="1:16" ht="13.5" customHeight="1" x14ac:dyDescent="0.3">
      <c r="A177" s="2" t="s">
        <v>420</v>
      </c>
      <c r="B177" s="3" t="s">
        <v>421</v>
      </c>
      <c r="C177" s="3" t="s">
        <v>25</v>
      </c>
      <c r="D177" s="3" t="s">
        <v>62</v>
      </c>
      <c r="E177" s="3" t="s">
        <v>33</v>
      </c>
      <c r="F177" s="2" t="s">
        <v>163</v>
      </c>
      <c r="G177" s="4">
        <v>45330</v>
      </c>
      <c r="H177" s="4">
        <v>45345</v>
      </c>
      <c r="I177" s="5">
        <v>522249</v>
      </c>
      <c r="J177" s="5">
        <v>522249</v>
      </c>
      <c r="K177" s="2" t="s">
        <v>67</v>
      </c>
      <c r="L177" s="3"/>
      <c r="M177" s="2" t="s">
        <v>88</v>
      </c>
      <c r="N177" s="2">
        <f t="shared" si="13"/>
        <v>15</v>
      </c>
      <c r="P177" t="str">
        <f t="shared" si="14"/>
        <v>Recorded</v>
      </c>
    </row>
    <row r="178" spans="1:16" ht="13.5" customHeight="1" x14ac:dyDescent="0.3">
      <c r="A178" s="2" t="s">
        <v>422</v>
      </c>
      <c r="B178" s="3" t="s">
        <v>423</v>
      </c>
      <c r="C178" s="3" t="s">
        <v>25</v>
      </c>
      <c r="D178" s="3" t="s">
        <v>26</v>
      </c>
      <c r="E178" s="3" t="s">
        <v>41</v>
      </c>
      <c r="F178" s="2" t="s">
        <v>143</v>
      </c>
      <c r="G178" s="4">
        <v>45347</v>
      </c>
      <c r="H178" s="4">
        <v>45359</v>
      </c>
      <c r="I178" s="5">
        <v>92686</v>
      </c>
      <c r="J178" s="5">
        <v>92686</v>
      </c>
      <c r="K178" s="2" t="s">
        <v>67</v>
      </c>
      <c r="L178" s="3"/>
      <c r="M178" s="2" t="s">
        <v>93</v>
      </c>
      <c r="N178" s="2">
        <f t="shared" si="13"/>
        <v>12</v>
      </c>
      <c r="P178" t="str">
        <f t="shared" si="14"/>
        <v>Recorded</v>
      </c>
    </row>
    <row r="179" spans="1:16" ht="13.5" customHeight="1" x14ac:dyDescent="0.3">
      <c r="A179" s="2" t="s">
        <v>424</v>
      </c>
      <c r="B179" s="3" t="s">
        <v>425</v>
      </c>
      <c r="C179" s="3" t="s">
        <v>70</v>
      </c>
      <c r="D179" s="3" t="s">
        <v>26</v>
      </c>
      <c r="E179" s="3" t="s">
        <v>41</v>
      </c>
      <c r="F179" s="2" t="s">
        <v>143</v>
      </c>
      <c r="G179" s="4">
        <v>45446</v>
      </c>
      <c r="H179" s="4">
        <v>45450</v>
      </c>
      <c r="I179" s="5">
        <v>421524</v>
      </c>
      <c r="J179" s="5">
        <v>421524</v>
      </c>
      <c r="K179" s="2" t="s">
        <v>67</v>
      </c>
      <c r="L179" s="3"/>
      <c r="M179" s="2" t="s">
        <v>22</v>
      </c>
      <c r="N179" s="2">
        <f t="shared" si="13"/>
        <v>4</v>
      </c>
      <c r="P179" t="str">
        <f t="shared" si="14"/>
        <v>Recorded</v>
      </c>
    </row>
    <row r="180" spans="1:16" ht="13.5" customHeight="1" x14ac:dyDescent="0.3">
      <c r="A180" s="2" t="s">
        <v>426</v>
      </c>
      <c r="B180" s="3" t="s">
        <v>427</v>
      </c>
      <c r="C180" s="3" t="s">
        <v>39</v>
      </c>
      <c r="D180" s="3" t="s">
        <v>56</v>
      </c>
      <c r="E180" s="3" t="s">
        <v>57</v>
      </c>
      <c r="F180" s="2" t="s">
        <v>113</v>
      </c>
      <c r="G180" s="4">
        <v>45354</v>
      </c>
      <c r="H180" s="4">
        <v>45362</v>
      </c>
      <c r="I180" s="5">
        <v>84070</v>
      </c>
      <c r="J180" s="5">
        <v>84070</v>
      </c>
      <c r="K180" s="2" t="s">
        <v>67</v>
      </c>
      <c r="L180" s="3"/>
      <c r="M180" s="2" t="s">
        <v>36</v>
      </c>
      <c r="N180" s="2">
        <f t="shared" si="13"/>
        <v>8</v>
      </c>
      <c r="P180" t="str">
        <f t="shared" si="14"/>
        <v>Recorded</v>
      </c>
    </row>
    <row r="181" spans="1:16" ht="13.5" customHeight="1" x14ac:dyDescent="0.3">
      <c r="A181" s="2" t="s">
        <v>428</v>
      </c>
      <c r="B181" s="3" t="s">
        <v>429</v>
      </c>
      <c r="C181" s="3" t="s">
        <v>16</v>
      </c>
      <c r="D181" s="3" t="s">
        <v>40</v>
      </c>
      <c r="E181" s="3" t="s">
        <v>33</v>
      </c>
      <c r="F181" s="2" t="s">
        <v>34</v>
      </c>
      <c r="G181" s="4">
        <v>45447</v>
      </c>
      <c r="H181" s="4"/>
      <c r="I181" s="5">
        <v>818349</v>
      </c>
      <c r="J181" s="2"/>
      <c r="K181" s="2" t="s">
        <v>75</v>
      </c>
      <c r="L181" s="3"/>
      <c r="M181" s="2" t="s">
        <v>36</v>
      </c>
      <c r="N181" s="2" t="str">
        <f t="shared" si="13"/>
        <v>Pending</v>
      </c>
      <c r="P181" t="str">
        <f t="shared" si="14"/>
        <v>Recorded</v>
      </c>
    </row>
    <row r="182" spans="1:16" ht="13.5" customHeight="1" x14ac:dyDescent="0.3">
      <c r="A182" s="2" t="s">
        <v>430</v>
      </c>
      <c r="B182" s="3" t="s">
        <v>431</v>
      </c>
      <c r="C182" s="3" t="s">
        <v>25</v>
      </c>
      <c r="D182" s="3" t="s">
        <v>40</v>
      </c>
      <c r="E182" s="3" t="s">
        <v>74</v>
      </c>
      <c r="F182" s="2" t="s">
        <v>34</v>
      </c>
      <c r="G182" s="4">
        <v>45649</v>
      </c>
      <c r="H182" s="4"/>
      <c r="I182" s="5">
        <v>93831</v>
      </c>
      <c r="J182" s="2"/>
      <c r="K182" s="2" t="s">
        <v>75</v>
      </c>
      <c r="L182" s="3"/>
      <c r="M182" s="2" t="s">
        <v>117</v>
      </c>
      <c r="N182" s="2" t="str">
        <f t="shared" si="13"/>
        <v>Pending</v>
      </c>
      <c r="P182" t="str">
        <f t="shared" si="14"/>
        <v>Recorded</v>
      </c>
    </row>
    <row r="183" spans="1:16" ht="13.5" customHeight="1" x14ac:dyDescent="0.3">
      <c r="A183" s="2" t="s">
        <v>432</v>
      </c>
      <c r="B183" s="3" t="s">
        <v>433</v>
      </c>
      <c r="C183" s="3" t="s">
        <v>16</v>
      </c>
      <c r="D183" s="3" t="s">
        <v>26</v>
      </c>
      <c r="E183" s="3" t="s">
        <v>50</v>
      </c>
      <c r="F183" s="2" t="s">
        <v>51</v>
      </c>
      <c r="G183" s="4">
        <v>45439</v>
      </c>
      <c r="H183" s="4">
        <v>45441</v>
      </c>
      <c r="I183" s="5">
        <v>84756</v>
      </c>
      <c r="J183" s="5">
        <v>0</v>
      </c>
      <c r="K183" s="2" t="s">
        <v>20</v>
      </c>
      <c r="L183" s="3" t="s">
        <v>52</v>
      </c>
      <c r="M183" s="2" t="s">
        <v>88</v>
      </c>
      <c r="N183" s="2">
        <f t="shared" si="13"/>
        <v>2</v>
      </c>
      <c r="P183" t="str">
        <f t="shared" si="14"/>
        <v>Recorded</v>
      </c>
    </row>
    <row r="184" spans="1:16" ht="13.5" customHeight="1" x14ac:dyDescent="0.3">
      <c r="A184" s="2" t="s">
        <v>434</v>
      </c>
      <c r="B184" s="3" t="s">
        <v>435</v>
      </c>
      <c r="C184" s="3" t="s">
        <v>25</v>
      </c>
      <c r="D184" s="3" t="s">
        <v>56</v>
      </c>
      <c r="E184" s="3" t="s">
        <v>27</v>
      </c>
      <c r="F184" s="2" t="s">
        <v>28</v>
      </c>
      <c r="G184" s="4">
        <v>45324</v>
      </c>
      <c r="H184" s="4">
        <v>45344</v>
      </c>
      <c r="I184" s="5">
        <v>538110</v>
      </c>
      <c r="J184" s="5">
        <v>538110</v>
      </c>
      <c r="K184" s="2" t="s">
        <v>67</v>
      </c>
      <c r="L184" s="3"/>
      <c r="M184" s="2" t="s">
        <v>44</v>
      </c>
      <c r="N184" s="2">
        <f t="shared" si="13"/>
        <v>20</v>
      </c>
      <c r="P184" t="str">
        <f t="shared" si="14"/>
        <v>Recorded</v>
      </c>
    </row>
    <row r="185" spans="1:16" ht="13.5" customHeight="1" x14ac:dyDescent="0.3">
      <c r="A185" s="2" t="s">
        <v>436</v>
      </c>
      <c r="B185" s="3" t="s">
        <v>437</v>
      </c>
      <c r="C185" s="3" t="s">
        <v>70</v>
      </c>
      <c r="D185" s="3" t="s">
        <v>26</v>
      </c>
      <c r="E185" s="3" t="s">
        <v>50</v>
      </c>
      <c r="F185" s="2" t="s">
        <v>51</v>
      </c>
      <c r="G185" s="4">
        <v>45537</v>
      </c>
      <c r="H185" s="4"/>
      <c r="I185" s="5">
        <v>177280</v>
      </c>
      <c r="J185" s="2"/>
      <c r="K185" s="2" t="s">
        <v>75</v>
      </c>
      <c r="L185" s="3"/>
      <c r="M185" s="2" t="s">
        <v>36</v>
      </c>
      <c r="N185" s="2" t="str">
        <f t="shared" si="13"/>
        <v>Pending</v>
      </c>
      <c r="P185" t="str">
        <f t="shared" si="14"/>
        <v>Recorded</v>
      </c>
    </row>
    <row r="186" spans="1:16" ht="13.5" customHeight="1" x14ac:dyDescent="0.3">
      <c r="A186" s="2" t="s">
        <v>438</v>
      </c>
      <c r="B186" s="3" t="s">
        <v>439</v>
      </c>
      <c r="C186" s="3" t="s">
        <v>70</v>
      </c>
      <c r="D186" s="3" t="s">
        <v>56</v>
      </c>
      <c r="E186" s="3" t="s">
        <v>50</v>
      </c>
      <c r="F186" s="2" t="s">
        <v>51</v>
      </c>
      <c r="G186" s="4">
        <v>45315</v>
      </c>
      <c r="H186" s="4">
        <v>45319</v>
      </c>
      <c r="I186" s="5">
        <v>681985</v>
      </c>
      <c r="J186" s="5">
        <v>0</v>
      </c>
      <c r="K186" s="2" t="s">
        <v>20</v>
      </c>
      <c r="L186" s="3" t="s">
        <v>71</v>
      </c>
      <c r="M186" s="2" t="s">
        <v>53</v>
      </c>
      <c r="N186" s="2">
        <f t="shared" si="13"/>
        <v>4</v>
      </c>
      <c r="P186" t="str">
        <f t="shared" si="14"/>
        <v>Recorded</v>
      </c>
    </row>
    <row r="187" spans="1:16" ht="13.5" customHeight="1" x14ac:dyDescent="0.3">
      <c r="A187" s="2" t="s">
        <v>440</v>
      </c>
      <c r="B187" s="3" t="s">
        <v>441</v>
      </c>
      <c r="C187" s="3" t="s">
        <v>16</v>
      </c>
      <c r="D187" s="3" t="s">
        <v>56</v>
      </c>
      <c r="E187" s="3" t="s">
        <v>50</v>
      </c>
      <c r="F187" s="2" t="s">
        <v>51</v>
      </c>
      <c r="G187" s="4">
        <v>45600</v>
      </c>
      <c r="H187" s="4"/>
      <c r="I187" s="5">
        <v>253737</v>
      </c>
      <c r="J187" s="2"/>
      <c r="K187" s="2" t="s">
        <v>75</v>
      </c>
      <c r="L187" s="3"/>
      <c r="M187" s="2" t="s">
        <v>144</v>
      </c>
      <c r="N187" s="2" t="str">
        <f t="shared" si="13"/>
        <v>Pending</v>
      </c>
      <c r="P187" t="str">
        <f t="shared" si="14"/>
        <v>Recorded</v>
      </c>
    </row>
    <row r="188" spans="1:16" ht="13.5" customHeight="1" x14ac:dyDescent="0.3">
      <c r="A188" s="2" t="s">
        <v>442</v>
      </c>
      <c r="B188" s="3" t="s">
        <v>443</v>
      </c>
      <c r="C188" s="3" t="s">
        <v>16</v>
      </c>
      <c r="D188" s="3" t="s">
        <v>26</v>
      </c>
      <c r="E188" s="3" t="s">
        <v>50</v>
      </c>
      <c r="F188" s="2" t="s">
        <v>51</v>
      </c>
      <c r="G188" s="4">
        <v>45529</v>
      </c>
      <c r="H188" s="4">
        <v>45547</v>
      </c>
      <c r="I188" s="5">
        <v>945073</v>
      </c>
      <c r="J188" s="5">
        <v>945073</v>
      </c>
      <c r="K188" s="2" t="s">
        <v>67</v>
      </c>
      <c r="L188" s="3"/>
      <c r="M188" s="2" t="s">
        <v>59</v>
      </c>
      <c r="N188" s="2">
        <f t="shared" si="13"/>
        <v>18</v>
      </c>
      <c r="P188" t="str">
        <f t="shared" si="14"/>
        <v>Recorded</v>
      </c>
    </row>
    <row r="189" spans="1:16" ht="13.5" customHeight="1" x14ac:dyDescent="0.3">
      <c r="A189" s="2" t="s">
        <v>444</v>
      </c>
      <c r="B189" s="3" t="s">
        <v>445</v>
      </c>
      <c r="C189" s="3" t="s">
        <v>39</v>
      </c>
      <c r="D189" s="3" t="s">
        <v>62</v>
      </c>
      <c r="E189" s="3" t="s">
        <v>41</v>
      </c>
      <c r="F189" s="2" t="s">
        <v>42</v>
      </c>
      <c r="G189" s="4">
        <v>45504</v>
      </c>
      <c r="H189" s="4">
        <v>45515</v>
      </c>
      <c r="I189" s="5">
        <v>68274</v>
      </c>
      <c r="J189" s="5">
        <v>48895</v>
      </c>
      <c r="K189" s="2" t="s">
        <v>35</v>
      </c>
      <c r="L189" s="3"/>
      <c r="M189" s="2" t="s">
        <v>30</v>
      </c>
      <c r="N189" s="2">
        <f t="shared" si="13"/>
        <v>11</v>
      </c>
      <c r="P189" t="str">
        <f t="shared" si="14"/>
        <v>Recorded</v>
      </c>
    </row>
    <row r="190" spans="1:16" ht="13.5" customHeight="1" x14ac:dyDescent="0.3">
      <c r="A190" s="2" t="s">
        <v>446</v>
      </c>
      <c r="B190" s="3" t="s">
        <v>447</v>
      </c>
      <c r="C190" s="3" t="s">
        <v>16</v>
      </c>
      <c r="D190" s="3" t="s">
        <v>40</v>
      </c>
      <c r="E190" s="3" t="s">
        <v>27</v>
      </c>
      <c r="F190" s="2" t="s">
        <v>120</v>
      </c>
      <c r="G190" s="4">
        <v>45529</v>
      </c>
      <c r="H190" s="4">
        <v>45542</v>
      </c>
      <c r="I190" s="2"/>
      <c r="J190" s="5">
        <v>641034</v>
      </c>
      <c r="K190" s="2" t="s">
        <v>67</v>
      </c>
      <c r="L190" s="3"/>
      <c r="M190" s="2" t="s">
        <v>36</v>
      </c>
      <c r="N190" s="2">
        <f t="shared" si="13"/>
        <v>13</v>
      </c>
      <c r="P190" t="str">
        <f t="shared" si="14"/>
        <v>Missing</v>
      </c>
    </row>
    <row r="191" spans="1:16" ht="13.5" customHeight="1" x14ac:dyDescent="0.3">
      <c r="A191" s="2" t="s">
        <v>448</v>
      </c>
      <c r="B191" s="3" t="s">
        <v>449</v>
      </c>
      <c r="C191" s="3" t="s">
        <v>16</v>
      </c>
      <c r="D191" s="3" t="s">
        <v>40</v>
      </c>
      <c r="E191" s="3" t="s">
        <v>41</v>
      </c>
      <c r="F191" s="2" t="s">
        <v>143</v>
      </c>
      <c r="G191" s="4">
        <v>45568</v>
      </c>
      <c r="H191" s="4">
        <v>45569</v>
      </c>
      <c r="I191" s="5">
        <v>778272</v>
      </c>
      <c r="J191" s="5">
        <v>0</v>
      </c>
      <c r="K191" s="2" t="s">
        <v>20</v>
      </c>
      <c r="L191" s="3" t="s">
        <v>21</v>
      </c>
      <c r="M191" s="2" t="s">
        <v>121</v>
      </c>
      <c r="N191" s="2">
        <f t="shared" si="13"/>
        <v>1</v>
      </c>
      <c r="P191" t="str">
        <f t="shared" si="14"/>
        <v>Recorded</v>
      </c>
    </row>
    <row r="192" spans="1:16" ht="13.5" customHeight="1" x14ac:dyDescent="0.3">
      <c r="A192" s="2" t="s">
        <v>450</v>
      </c>
      <c r="B192" s="3" t="s">
        <v>451</v>
      </c>
      <c r="C192" s="3" t="s">
        <v>70</v>
      </c>
      <c r="D192" s="3" t="s">
        <v>40</v>
      </c>
      <c r="E192" s="3" t="s">
        <v>41</v>
      </c>
      <c r="F192" s="2" t="s">
        <v>42</v>
      </c>
      <c r="G192" s="4">
        <v>45555</v>
      </c>
      <c r="H192" s="4">
        <v>45562</v>
      </c>
      <c r="I192" s="5">
        <v>305512</v>
      </c>
      <c r="J192" s="5">
        <v>305512</v>
      </c>
      <c r="K192" s="2" t="s">
        <v>67</v>
      </c>
      <c r="L192" s="3"/>
      <c r="M192" s="2" t="s">
        <v>36</v>
      </c>
      <c r="N192" s="2">
        <f t="shared" si="13"/>
        <v>7</v>
      </c>
      <c r="P192" t="str">
        <f t="shared" si="14"/>
        <v>Recorded</v>
      </c>
    </row>
    <row r="193" spans="1:16" ht="13.5" customHeight="1" x14ac:dyDescent="0.3">
      <c r="A193" s="2" t="s">
        <v>452</v>
      </c>
      <c r="B193" s="3" t="s">
        <v>453</v>
      </c>
      <c r="C193" s="3" t="s">
        <v>25</v>
      </c>
      <c r="D193" s="3" t="s">
        <v>17</v>
      </c>
      <c r="E193" s="3" t="s">
        <v>57</v>
      </c>
      <c r="F193" s="2" t="s">
        <v>113</v>
      </c>
      <c r="G193" s="4">
        <v>45614</v>
      </c>
      <c r="H193" s="4">
        <v>45632</v>
      </c>
      <c r="I193" s="5">
        <v>141043</v>
      </c>
      <c r="J193" s="5">
        <v>141043</v>
      </c>
      <c r="K193" s="2" t="s">
        <v>67</v>
      </c>
      <c r="L193" s="3"/>
      <c r="M193" s="2" t="s">
        <v>44</v>
      </c>
      <c r="N193" s="2">
        <f t="shared" si="13"/>
        <v>18</v>
      </c>
      <c r="P193" t="str">
        <f t="shared" si="14"/>
        <v>Recorded</v>
      </c>
    </row>
    <row r="194" spans="1:16" ht="13.5" customHeight="1" x14ac:dyDescent="0.3">
      <c r="A194" s="2" t="s">
        <v>454</v>
      </c>
      <c r="B194" s="3" t="s">
        <v>455</v>
      </c>
      <c r="C194" s="3" t="s">
        <v>25</v>
      </c>
      <c r="D194" s="3" t="s">
        <v>17</v>
      </c>
      <c r="E194" s="3" t="s">
        <v>57</v>
      </c>
      <c r="F194" s="2" t="s">
        <v>66</v>
      </c>
      <c r="G194" s="4">
        <v>45333</v>
      </c>
      <c r="H194" s="4">
        <v>45348</v>
      </c>
      <c r="I194" s="5">
        <v>438845</v>
      </c>
      <c r="J194" s="5">
        <v>438845</v>
      </c>
      <c r="K194" s="2" t="s">
        <v>67</v>
      </c>
      <c r="L194" s="3"/>
      <c r="M194" s="2" t="s">
        <v>22</v>
      </c>
      <c r="N194" s="2">
        <f t="shared" si="13"/>
        <v>15</v>
      </c>
      <c r="P194" t="str">
        <f t="shared" si="14"/>
        <v>Recorded</v>
      </c>
    </row>
    <row r="195" spans="1:16" ht="13.5" customHeight="1" x14ac:dyDescent="0.3">
      <c r="A195" s="2" t="s">
        <v>456</v>
      </c>
      <c r="B195" s="3" t="s">
        <v>457</v>
      </c>
      <c r="C195" s="3" t="s">
        <v>39</v>
      </c>
      <c r="D195" s="3" t="s">
        <v>26</v>
      </c>
      <c r="E195" s="3" t="s">
        <v>27</v>
      </c>
      <c r="F195" s="2" t="s">
        <v>120</v>
      </c>
      <c r="G195" s="4">
        <v>45374</v>
      </c>
      <c r="H195" s="4">
        <v>45378</v>
      </c>
      <c r="I195" s="5">
        <v>279254</v>
      </c>
      <c r="J195" s="5">
        <v>279254</v>
      </c>
      <c r="K195" s="2" t="s">
        <v>67</v>
      </c>
      <c r="L195" s="3"/>
      <c r="M195" s="2" t="s">
        <v>30</v>
      </c>
      <c r="N195" s="2">
        <f t="shared" ref="N195:N258" si="15">IF(H195="","Pending",H195-G195)</f>
        <v>4</v>
      </c>
      <c r="P195" t="str">
        <f t="shared" ref="P195:P258" si="16">IF(I195 = "", "Missing", "Recorded")</f>
        <v>Recorded</v>
      </c>
    </row>
    <row r="196" spans="1:16" ht="13.5" customHeight="1" x14ac:dyDescent="0.3">
      <c r="A196" s="2" t="s">
        <v>458</v>
      </c>
      <c r="B196" s="3" t="s">
        <v>459</v>
      </c>
      <c r="C196" s="3" t="s">
        <v>25</v>
      </c>
      <c r="D196" s="3" t="s">
        <v>40</v>
      </c>
      <c r="E196" s="3" t="s">
        <v>27</v>
      </c>
      <c r="F196" s="2" t="s">
        <v>28</v>
      </c>
      <c r="G196" s="4">
        <v>45414</v>
      </c>
      <c r="H196" s="4"/>
      <c r="I196" s="5">
        <v>783813</v>
      </c>
      <c r="J196" s="2"/>
      <c r="K196" s="2" t="s">
        <v>75</v>
      </c>
      <c r="L196" s="3"/>
      <c r="M196" s="2" t="s">
        <v>36</v>
      </c>
      <c r="N196" s="2" t="str">
        <f t="shared" si="15"/>
        <v>Pending</v>
      </c>
      <c r="P196" t="str">
        <f t="shared" si="16"/>
        <v>Recorded</v>
      </c>
    </row>
    <row r="197" spans="1:16" ht="13.5" customHeight="1" x14ac:dyDescent="0.3">
      <c r="A197" s="2" t="s">
        <v>460</v>
      </c>
      <c r="B197" s="3" t="s">
        <v>461</v>
      </c>
      <c r="C197" s="3" t="s">
        <v>16</v>
      </c>
      <c r="D197" s="3" t="s">
        <v>56</v>
      </c>
      <c r="E197" s="3" t="s">
        <v>50</v>
      </c>
      <c r="F197" s="2" t="s">
        <v>81</v>
      </c>
      <c r="G197" s="4">
        <v>45596</v>
      </c>
      <c r="H197" s="4">
        <v>45603</v>
      </c>
      <c r="I197" s="2"/>
      <c r="J197" s="5">
        <v>64998</v>
      </c>
      <c r="K197" s="2" t="s">
        <v>67</v>
      </c>
      <c r="L197" s="3"/>
      <c r="M197" s="2" t="s">
        <v>132</v>
      </c>
      <c r="N197" s="2">
        <f t="shared" si="15"/>
        <v>7</v>
      </c>
      <c r="P197" t="str">
        <f t="shared" si="16"/>
        <v>Missing</v>
      </c>
    </row>
    <row r="198" spans="1:16" ht="13.5" customHeight="1" x14ac:dyDescent="0.3">
      <c r="A198" s="2" t="s">
        <v>462</v>
      </c>
      <c r="B198" s="3" t="s">
        <v>463</v>
      </c>
      <c r="C198" s="3" t="s">
        <v>70</v>
      </c>
      <c r="D198" s="3" t="s">
        <v>26</v>
      </c>
      <c r="E198" s="3" t="s">
        <v>57</v>
      </c>
      <c r="F198" s="2" t="s">
        <v>113</v>
      </c>
      <c r="G198" s="4">
        <v>45631</v>
      </c>
      <c r="H198" s="4">
        <v>45633</v>
      </c>
      <c r="I198" s="5">
        <v>390134</v>
      </c>
      <c r="J198" s="5">
        <v>0</v>
      </c>
      <c r="K198" s="2" t="s">
        <v>20</v>
      </c>
      <c r="L198" s="3" t="s">
        <v>52</v>
      </c>
      <c r="M198" s="2" t="s">
        <v>53</v>
      </c>
      <c r="N198" s="2">
        <f t="shared" si="15"/>
        <v>2</v>
      </c>
      <c r="P198" t="str">
        <f t="shared" si="16"/>
        <v>Recorded</v>
      </c>
    </row>
    <row r="199" spans="1:16" ht="13.5" customHeight="1" x14ac:dyDescent="0.3">
      <c r="A199" s="2" t="s">
        <v>464</v>
      </c>
      <c r="B199" s="3" t="s">
        <v>465</v>
      </c>
      <c r="C199" s="3" t="s">
        <v>70</v>
      </c>
      <c r="D199" s="3" t="s">
        <v>40</v>
      </c>
      <c r="E199" s="3" t="s">
        <v>57</v>
      </c>
      <c r="F199" s="2" t="s">
        <v>58</v>
      </c>
      <c r="G199" s="4">
        <v>45559</v>
      </c>
      <c r="H199" s="4">
        <v>45584</v>
      </c>
      <c r="I199" s="5">
        <v>122179</v>
      </c>
      <c r="J199" s="5">
        <v>94168</v>
      </c>
      <c r="K199" s="2" t="s">
        <v>35</v>
      </c>
      <c r="L199" s="3"/>
      <c r="M199" s="2" t="s">
        <v>63</v>
      </c>
      <c r="N199" s="2">
        <f t="shared" si="15"/>
        <v>25</v>
      </c>
      <c r="P199" t="str">
        <f t="shared" si="16"/>
        <v>Recorded</v>
      </c>
    </row>
    <row r="200" spans="1:16" ht="13.5" customHeight="1" x14ac:dyDescent="0.3">
      <c r="A200" s="2" t="s">
        <v>466</v>
      </c>
      <c r="B200" s="3" t="s">
        <v>467</v>
      </c>
      <c r="C200" s="3" t="s">
        <v>70</v>
      </c>
      <c r="D200" s="3" t="s">
        <v>62</v>
      </c>
      <c r="E200" s="3" t="s">
        <v>50</v>
      </c>
      <c r="F200" s="2" t="s">
        <v>51</v>
      </c>
      <c r="G200" s="4">
        <v>45596</v>
      </c>
      <c r="H200" s="4">
        <v>45606</v>
      </c>
      <c r="I200" s="5">
        <v>473310</v>
      </c>
      <c r="J200" s="5">
        <v>0</v>
      </c>
      <c r="K200" s="2" t="s">
        <v>20</v>
      </c>
      <c r="L200" s="3" t="s">
        <v>52</v>
      </c>
      <c r="M200" s="2" t="s">
        <v>36</v>
      </c>
      <c r="N200" s="2">
        <f t="shared" si="15"/>
        <v>10</v>
      </c>
      <c r="P200" t="str">
        <f t="shared" si="16"/>
        <v>Recorded</v>
      </c>
    </row>
    <row r="201" spans="1:16" ht="13.5" customHeight="1" x14ac:dyDescent="0.3">
      <c r="A201" s="2" t="s">
        <v>468</v>
      </c>
      <c r="B201" s="3" t="s">
        <v>469</v>
      </c>
      <c r="C201" s="3" t="s">
        <v>16</v>
      </c>
      <c r="D201" s="3" t="s">
        <v>56</v>
      </c>
      <c r="E201" s="3" t="s">
        <v>33</v>
      </c>
      <c r="F201" s="2" t="s">
        <v>163</v>
      </c>
      <c r="G201" s="4">
        <v>45640</v>
      </c>
      <c r="H201" s="4">
        <v>45645</v>
      </c>
      <c r="I201" s="5">
        <v>699428</v>
      </c>
      <c r="J201" s="5">
        <v>699428</v>
      </c>
      <c r="K201" s="2" t="s">
        <v>67</v>
      </c>
      <c r="L201" s="3"/>
      <c r="M201" s="2" t="s">
        <v>78</v>
      </c>
      <c r="N201" s="2">
        <f t="shared" si="15"/>
        <v>5</v>
      </c>
      <c r="P201" t="str">
        <f t="shared" si="16"/>
        <v>Recorded</v>
      </c>
    </row>
    <row r="202" spans="1:16" ht="13.5" customHeight="1" x14ac:dyDescent="0.3">
      <c r="A202" s="2" t="s">
        <v>470</v>
      </c>
      <c r="B202" s="3" t="s">
        <v>471</v>
      </c>
      <c r="C202" s="3" t="s">
        <v>25</v>
      </c>
      <c r="D202" s="3" t="s">
        <v>17</v>
      </c>
      <c r="E202" s="3" t="s">
        <v>57</v>
      </c>
      <c r="F202" s="2" t="s">
        <v>66</v>
      </c>
      <c r="G202" s="4">
        <v>45535</v>
      </c>
      <c r="H202" s="4">
        <v>45556</v>
      </c>
      <c r="I202" s="5">
        <v>119444</v>
      </c>
      <c r="J202" s="5">
        <v>119444</v>
      </c>
      <c r="K202" s="2" t="s">
        <v>67</v>
      </c>
      <c r="L202" s="3"/>
      <c r="M202" s="2" t="s">
        <v>121</v>
      </c>
      <c r="N202" s="2">
        <f t="shared" si="15"/>
        <v>21</v>
      </c>
      <c r="P202" t="str">
        <f t="shared" si="16"/>
        <v>Recorded</v>
      </c>
    </row>
    <row r="203" spans="1:16" ht="13.5" customHeight="1" x14ac:dyDescent="0.3">
      <c r="A203" s="2" t="s">
        <v>472</v>
      </c>
      <c r="B203" s="3" t="s">
        <v>473</v>
      </c>
      <c r="C203" s="3" t="s">
        <v>16</v>
      </c>
      <c r="D203" s="3" t="s">
        <v>56</v>
      </c>
      <c r="E203" s="3" t="s">
        <v>50</v>
      </c>
      <c r="F203" s="2" t="s">
        <v>51</v>
      </c>
      <c r="G203" s="4">
        <v>45318</v>
      </c>
      <c r="H203" s="4">
        <v>45319</v>
      </c>
      <c r="I203" s="5">
        <v>19954</v>
      </c>
      <c r="J203" s="5">
        <v>0</v>
      </c>
      <c r="K203" s="2" t="s">
        <v>20</v>
      </c>
      <c r="L203" s="3" t="s">
        <v>71</v>
      </c>
      <c r="M203" s="2" t="s">
        <v>30</v>
      </c>
      <c r="N203" s="2">
        <f t="shared" si="15"/>
        <v>1</v>
      </c>
      <c r="P203" t="str">
        <f t="shared" si="16"/>
        <v>Recorded</v>
      </c>
    </row>
    <row r="204" spans="1:16" ht="13.5" customHeight="1" x14ac:dyDescent="0.3">
      <c r="A204" s="2" t="s">
        <v>474</v>
      </c>
      <c r="B204" s="3" t="s">
        <v>475</v>
      </c>
      <c r="C204" s="3" t="s">
        <v>70</v>
      </c>
      <c r="D204" s="3" t="s">
        <v>40</v>
      </c>
      <c r="E204" s="3" t="s">
        <v>18</v>
      </c>
      <c r="F204" s="2" t="s">
        <v>105</v>
      </c>
      <c r="G204" s="4">
        <v>45598</v>
      </c>
      <c r="H204" s="4">
        <v>45612</v>
      </c>
      <c r="I204" s="5">
        <v>221324</v>
      </c>
      <c r="J204" s="5">
        <v>0</v>
      </c>
      <c r="K204" s="2" t="s">
        <v>20</v>
      </c>
      <c r="L204" s="3" t="s">
        <v>71</v>
      </c>
      <c r="M204" s="2" t="s">
        <v>78</v>
      </c>
      <c r="N204" s="2">
        <f t="shared" si="15"/>
        <v>14</v>
      </c>
      <c r="P204" t="str">
        <f t="shared" si="16"/>
        <v>Recorded</v>
      </c>
    </row>
    <row r="205" spans="1:16" ht="13.5" customHeight="1" x14ac:dyDescent="0.3">
      <c r="A205" s="2" t="s">
        <v>476</v>
      </c>
      <c r="B205" s="3" t="s">
        <v>477</v>
      </c>
      <c r="C205" s="3" t="s">
        <v>16</v>
      </c>
      <c r="D205" s="3" t="s">
        <v>56</v>
      </c>
      <c r="E205" s="3" t="s">
        <v>33</v>
      </c>
      <c r="F205" s="2" t="s">
        <v>163</v>
      </c>
      <c r="G205" s="4">
        <v>45357</v>
      </c>
      <c r="H205" s="4">
        <v>45372</v>
      </c>
      <c r="I205" s="5">
        <v>104168</v>
      </c>
      <c r="J205" s="5">
        <v>104168</v>
      </c>
      <c r="K205" s="2" t="s">
        <v>67</v>
      </c>
      <c r="L205" s="3"/>
      <c r="M205" s="2" t="s">
        <v>30</v>
      </c>
      <c r="N205" s="2">
        <f t="shared" si="15"/>
        <v>15</v>
      </c>
      <c r="P205" t="str">
        <f t="shared" si="16"/>
        <v>Recorded</v>
      </c>
    </row>
    <row r="206" spans="1:16" ht="13.5" customHeight="1" x14ac:dyDescent="0.3">
      <c r="A206" s="2" t="s">
        <v>478</v>
      </c>
      <c r="B206" s="3" t="s">
        <v>479</v>
      </c>
      <c r="C206" s="3" t="s">
        <v>70</v>
      </c>
      <c r="D206" s="3" t="s">
        <v>40</v>
      </c>
      <c r="E206" s="3" t="s">
        <v>41</v>
      </c>
      <c r="F206" s="2" t="s">
        <v>143</v>
      </c>
      <c r="G206" s="4">
        <v>45367</v>
      </c>
      <c r="H206" s="4"/>
      <c r="I206" s="5">
        <v>776913</v>
      </c>
      <c r="J206" s="2"/>
      <c r="K206" s="2" t="s">
        <v>75</v>
      </c>
      <c r="L206" s="3"/>
      <c r="M206" s="2" t="s">
        <v>144</v>
      </c>
      <c r="N206" s="2" t="str">
        <f t="shared" si="15"/>
        <v>Pending</v>
      </c>
      <c r="P206" t="str">
        <f t="shared" si="16"/>
        <v>Recorded</v>
      </c>
    </row>
    <row r="207" spans="1:16" ht="13.5" customHeight="1" x14ac:dyDescent="0.3">
      <c r="A207" s="2" t="s">
        <v>480</v>
      </c>
      <c r="B207" s="3" t="s">
        <v>481</v>
      </c>
      <c r="C207" s="3" t="s">
        <v>16</v>
      </c>
      <c r="D207" s="3" t="s">
        <v>56</v>
      </c>
      <c r="E207" s="3" t="s">
        <v>50</v>
      </c>
      <c r="F207" s="2" t="s">
        <v>81</v>
      </c>
      <c r="G207" s="4">
        <v>45435</v>
      </c>
      <c r="H207" s="4">
        <v>45450</v>
      </c>
      <c r="I207" s="5">
        <v>452570</v>
      </c>
      <c r="J207" s="5">
        <v>452570</v>
      </c>
      <c r="K207" s="2" t="s">
        <v>67</v>
      </c>
      <c r="L207" s="3"/>
      <c r="M207" s="2" t="s">
        <v>44</v>
      </c>
      <c r="N207" s="2">
        <f t="shared" si="15"/>
        <v>15</v>
      </c>
      <c r="P207" t="str">
        <f t="shared" si="16"/>
        <v>Recorded</v>
      </c>
    </row>
    <row r="208" spans="1:16" ht="13.5" customHeight="1" x14ac:dyDescent="0.3">
      <c r="A208" s="2" t="s">
        <v>482</v>
      </c>
      <c r="B208" s="3" t="s">
        <v>483</v>
      </c>
      <c r="C208" s="3" t="s">
        <v>70</v>
      </c>
      <c r="D208" s="3" t="s">
        <v>17</v>
      </c>
      <c r="E208" s="3" t="s">
        <v>18</v>
      </c>
      <c r="F208" s="2" t="s">
        <v>105</v>
      </c>
      <c r="G208" s="4">
        <v>45652</v>
      </c>
      <c r="H208" s="4">
        <v>45668</v>
      </c>
      <c r="I208" s="5">
        <v>949312</v>
      </c>
      <c r="J208" s="5">
        <v>949312</v>
      </c>
      <c r="K208" s="2" t="s">
        <v>67</v>
      </c>
      <c r="L208" s="3"/>
      <c r="M208" s="2" t="s">
        <v>22</v>
      </c>
      <c r="N208" s="2">
        <f t="shared" si="15"/>
        <v>16</v>
      </c>
      <c r="P208" t="str">
        <f t="shared" si="16"/>
        <v>Recorded</v>
      </c>
    </row>
    <row r="209" spans="1:16" ht="13.5" customHeight="1" x14ac:dyDescent="0.3">
      <c r="A209" s="2" t="s">
        <v>484</v>
      </c>
      <c r="B209" s="3" t="s">
        <v>485</v>
      </c>
      <c r="C209" s="3" t="s">
        <v>39</v>
      </c>
      <c r="D209" s="3" t="s">
        <v>62</v>
      </c>
      <c r="E209" s="3" t="s">
        <v>33</v>
      </c>
      <c r="F209" s="2" t="s">
        <v>47</v>
      </c>
      <c r="G209" s="4">
        <v>45647</v>
      </c>
      <c r="H209" s="4">
        <v>45657</v>
      </c>
      <c r="I209" s="5">
        <v>284088</v>
      </c>
      <c r="J209" s="5">
        <v>186316</v>
      </c>
      <c r="K209" s="2" t="s">
        <v>35</v>
      </c>
      <c r="L209" s="3"/>
      <c r="M209" s="2" t="s">
        <v>30</v>
      </c>
      <c r="N209" s="2">
        <f t="shared" si="15"/>
        <v>10</v>
      </c>
      <c r="P209" t="str">
        <f t="shared" si="16"/>
        <v>Recorded</v>
      </c>
    </row>
    <row r="210" spans="1:16" ht="13.5" customHeight="1" x14ac:dyDescent="0.3">
      <c r="A210" s="2" t="s">
        <v>486</v>
      </c>
      <c r="B210" s="3" t="s">
        <v>487</v>
      </c>
      <c r="C210" s="3" t="s">
        <v>70</v>
      </c>
      <c r="D210" s="3" t="s">
        <v>62</v>
      </c>
      <c r="E210" s="3" t="s">
        <v>33</v>
      </c>
      <c r="F210" s="2" t="s">
        <v>34</v>
      </c>
      <c r="G210" s="4">
        <v>45315</v>
      </c>
      <c r="H210" s="4">
        <v>45328</v>
      </c>
      <c r="I210" s="5">
        <v>354508</v>
      </c>
      <c r="J210" s="5">
        <v>0</v>
      </c>
      <c r="K210" s="2" t="s">
        <v>20</v>
      </c>
      <c r="L210" s="3" t="s">
        <v>71</v>
      </c>
      <c r="M210" s="2" t="s">
        <v>121</v>
      </c>
      <c r="N210" s="2">
        <f t="shared" si="15"/>
        <v>13</v>
      </c>
      <c r="P210" t="str">
        <f t="shared" si="16"/>
        <v>Recorded</v>
      </c>
    </row>
    <row r="211" spans="1:16" ht="13.5" customHeight="1" x14ac:dyDescent="0.3">
      <c r="A211" s="2" t="s">
        <v>488</v>
      </c>
      <c r="B211" s="3" t="s">
        <v>489</v>
      </c>
      <c r="C211" s="3" t="s">
        <v>70</v>
      </c>
      <c r="D211" s="3" t="s">
        <v>26</v>
      </c>
      <c r="E211" s="3" t="s">
        <v>57</v>
      </c>
      <c r="F211" s="2" t="s">
        <v>66</v>
      </c>
      <c r="G211" s="4">
        <v>45420</v>
      </c>
      <c r="H211" s="4">
        <v>45424</v>
      </c>
      <c r="I211" s="5">
        <v>740516</v>
      </c>
      <c r="J211" s="5">
        <v>740516</v>
      </c>
      <c r="K211" s="2" t="s">
        <v>67</v>
      </c>
      <c r="L211" s="3"/>
      <c r="M211" s="2" t="s">
        <v>144</v>
      </c>
      <c r="N211" s="2">
        <f t="shared" si="15"/>
        <v>4</v>
      </c>
      <c r="P211" t="str">
        <f t="shared" si="16"/>
        <v>Recorded</v>
      </c>
    </row>
    <row r="212" spans="1:16" ht="13.5" customHeight="1" x14ac:dyDescent="0.3">
      <c r="A212" s="2" t="s">
        <v>490</v>
      </c>
      <c r="B212" s="3" t="s">
        <v>491</v>
      </c>
      <c r="C212" s="3" t="s">
        <v>25</v>
      </c>
      <c r="D212" s="3" t="s">
        <v>62</v>
      </c>
      <c r="E212" s="3" t="s">
        <v>41</v>
      </c>
      <c r="F212" s="2" t="s">
        <v>143</v>
      </c>
      <c r="G212" s="4">
        <v>45609</v>
      </c>
      <c r="H212" s="4">
        <v>45615</v>
      </c>
      <c r="I212" s="5">
        <v>54115</v>
      </c>
      <c r="J212" s="5">
        <v>54115</v>
      </c>
      <c r="K212" s="2" t="s">
        <v>67</v>
      </c>
      <c r="L212" s="3"/>
      <c r="M212" s="2" t="s">
        <v>63</v>
      </c>
      <c r="N212" s="2">
        <f t="shared" si="15"/>
        <v>6</v>
      </c>
      <c r="P212" t="str">
        <f t="shared" si="16"/>
        <v>Recorded</v>
      </c>
    </row>
    <row r="213" spans="1:16" ht="13.5" customHeight="1" x14ac:dyDescent="0.3">
      <c r="A213" s="2" t="s">
        <v>492</v>
      </c>
      <c r="B213" s="3" t="s">
        <v>493</v>
      </c>
      <c r="C213" s="3" t="s">
        <v>25</v>
      </c>
      <c r="D213" s="3" t="s">
        <v>17</v>
      </c>
      <c r="E213" s="3" t="s">
        <v>74</v>
      </c>
      <c r="F213" s="2" t="s">
        <v>34</v>
      </c>
      <c r="G213" s="4">
        <v>45437</v>
      </c>
      <c r="H213" s="4">
        <v>45455</v>
      </c>
      <c r="I213" s="5">
        <v>271792</v>
      </c>
      <c r="J213" s="5">
        <v>271792</v>
      </c>
      <c r="K213" s="2" t="s">
        <v>67</v>
      </c>
      <c r="L213" s="3"/>
      <c r="M213" s="2" t="s">
        <v>144</v>
      </c>
      <c r="N213" s="2">
        <f t="shared" si="15"/>
        <v>18</v>
      </c>
      <c r="P213" t="str">
        <f t="shared" si="16"/>
        <v>Recorded</v>
      </c>
    </row>
    <row r="214" spans="1:16" ht="13.5" customHeight="1" x14ac:dyDescent="0.3">
      <c r="A214" s="2" t="s">
        <v>494</v>
      </c>
      <c r="B214" s="3" t="s">
        <v>495</v>
      </c>
      <c r="C214" s="3" t="s">
        <v>25</v>
      </c>
      <c r="D214" s="3" t="s">
        <v>26</v>
      </c>
      <c r="E214" s="3" t="s">
        <v>57</v>
      </c>
      <c r="F214" s="2" t="s">
        <v>66</v>
      </c>
      <c r="G214" s="4">
        <v>45570</v>
      </c>
      <c r="H214" s="4">
        <v>45592</v>
      </c>
      <c r="I214" s="5">
        <v>802970</v>
      </c>
      <c r="J214" s="5">
        <v>452919</v>
      </c>
      <c r="K214" s="2" t="s">
        <v>35</v>
      </c>
      <c r="L214" s="3"/>
      <c r="M214" s="2" t="s">
        <v>44</v>
      </c>
      <c r="N214" s="2">
        <f t="shared" si="15"/>
        <v>22</v>
      </c>
      <c r="P214" t="str">
        <f t="shared" si="16"/>
        <v>Recorded</v>
      </c>
    </row>
    <row r="215" spans="1:16" ht="13.5" customHeight="1" x14ac:dyDescent="0.3">
      <c r="A215" s="2" t="s">
        <v>496</v>
      </c>
      <c r="B215" s="3" t="s">
        <v>497</v>
      </c>
      <c r="C215" s="3" t="s">
        <v>70</v>
      </c>
      <c r="D215" s="3" t="s">
        <v>56</v>
      </c>
      <c r="E215" s="3" t="s">
        <v>27</v>
      </c>
      <c r="F215" s="2" t="s">
        <v>28</v>
      </c>
      <c r="G215" s="4">
        <v>45441</v>
      </c>
      <c r="H215" s="4">
        <v>45459</v>
      </c>
      <c r="I215" s="2"/>
      <c r="J215" s="5">
        <v>423936</v>
      </c>
      <c r="K215" s="2" t="s">
        <v>35</v>
      </c>
      <c r="L215" s="3"/>
      <c r="M215" s="2" t="s">
        <v>88</v>
      </c>
      <c r="N215" s="2">
        <f t="shared" si="15"/>
        <v>18</v>
      </c>
      <c r="P215" t="str">
        <f t="shared" si="16"/>
        <v>Missing</v>
      </c>
    </row>
    <row r="216" spans="1:16" ht="13.5" customHeight="1" x14ac:dyDescent="0.3">
      <c r="A216" s="2" t="s">
        <v>498</v>
      </c>
      <c r="B216" s="3" t="s">
        <v>499</v>
      </c>
      <c r="C216" s="3" t="s">
        <v>25</v>
      </c>
      <c r="D216" s="3" t="s">
        <v>26</v>
      </c>
      <c r="E216" s="3" t="s">
        <v>74</v>
      </c>
      <c r="F216" s="2" t="s">
        <v>47</v>
      </c>
      <c r="G216" s="4">
        <v>45498</v>
      </c>
      <c r="H216" s="4">
        <v>45515</v>
      </c>
      <c r="I216" s="5">
        <v>923369</v>
      </c>
      <c r="J216" s="5">
        <v>923369</v>
      </c>
      <c r="K216" s="2" t="s">
        <v>67</v>
      </c>
      <c r="L216" s="3"/>
      <c r="M216" s="2" t="s">
        <v>36</v>
      </c>
      <c r="N216" s="2">
        <f t="shared" si="15"/>
        <v>17</v>
      </c>
      <c r="P216" t="str">
        <f t="shared" si="16"/>
        <v>Recorded</v>
      </c>
    </row>
    <row r="217" spans="1:16" ht="13.5" customHeight="1" x14ac:dyDescent="0.3">
      <c r="A217" s="2" t="s">
        <v>500</v>
      </c>
      <c r="B217" s="3" t="s">
        <v>501</v>
      </c>
      <c r="C217" s="3" t="s">
        <v>39</v>
      </c>
      <c r="D217" s="3" t="s">
        <v>40</v>
      </c>
      <c r="E217" s="3" t="s">
        <v>50</v>
      </c>
      <c r="F217" s="2" t="s">
        <v>81</v>
      </c>
      <c r="G217" s="4">
        <v>45531</v>
      </c>
      <c r="H217" s="4">
        <v>45544</v>
      </c>
      <c r="I217" s="5">
        <v>212581</v>
      </c>
      <c r="J217" s="5">
        <v>0</v>
      </c>
      <c r="K217" s="2" t="s">
        <v>20</v>
      </c>
      <c r="L217" s="3" t="s">
        <v>71</v>
      </c>
      <c r="M217" s="2" t="s">
        <v>63</v>
      </c>
      <c r="N217" s="2">
        <f t="shared" si="15"/>
        <v>13</v>
      </c>
      <c r="P217" t="str">
        <f t="shared" si="16"/>
        <v>Recorded</v>
      </c>
    </row>
    <row r="218" spans="1:16" ht="13.5" customHeight="1" x14ac:dyDescent="0.3">
      <c r="A218" s="2" t="s">
        <v>502</v>
      </c>
      <c r="B218" s="3" t="s">
        <v>503</v>
      </c>
      <c r="C218" s="3" t="s">
        <v>25</v>
      </c>
      <c r="D218" s="3" t="s">
        <v>62</v>
      </c>
      <c r="E218" s="3" t="s">
        <v>57</v>
      </c>
      <c r="F218" s="2" t="s">
        <v>66</v>
      </c>
      <c r="G218" s="4">
        <v>45613</v>
      </c>
      <c r="H218" s="4">
        <v>45623</v>
      </c>
      <c r="I218" s="5">
        <v>72867</v>
      </c>
      <c r="J218" s="5">
        <v>0</v>
      </c>
      <c r="K218" s="2" t="s">
        <v>20</v>
      </c>
      <c r="L218" s="3" t="s">
        <v>52</v>
      </c>
      <c r="M218" s="2" t="s">
        <v>36</v>
      </c>
      <c r="N218" s="2">
        <f t="shared" si="15"/>
        <v>10</v>
      </c>
      <c r="P218" t="str">
        <f t="shared" si="16"/>
        <v>Recorded</v>
      </c>
    </row>
    <row r="219" spans="1:16" ht="13.5" customHeight="1" x14ac:dyDescent="0.3">
      <c r="A219" s="2" t="s">
        <v>504</v>
      </c>
      <c r="B219" s="3" t="s">
        <v>505</v>
      </c>
      <c r="C219" s="3" t="s">
        <v>25</v>
      </c>
      <c r="D219" s="3" t="s">
        <v>62</v>
      </c>
      <c r="E219" s="3" t="s">
        <v>57</v>
      </c>
      <c r="F219" s="2" t="s">
        <v>66</v>
      </c>
      <c r="G219" s="4">
        <v>45482</v>
      </c>
      <c r="H219" s="4">
        <v>45483</v>
      </c>
      <c r="I219" s="5">
        <v>907754</v>
      </c>
      <c r="J219" s="5">
        <v>0</v>
      </c>
      <c r="K219" s="2" t="s">
        <v>20</v>
      </c>
      <c r="L219" s="3" t="s">
        <v>114</v>
      </c>
      <c r="M219" s="2" t="s">
        <v>121</v>
      </c>
      <c r="N219" s="2">
        <f t="shared" si="15"/>
        <v>1</v>
      </c>
      <c r="P219" t="str">
        <f t="shared" si="16"/>
        <v>Recorded</v>
      </c>
    </row>
    <row r="220" spans="1:16" ht="13.5" customHeight="1" x14ac:dyDescent="0.3">
      <c r="A220" s="2" t="s">
        <v>506</v>
      </c>
      <c r="B220" s="3" t="s">
        <v>507</v>
      </c>
      <c r="C220" s="3" t="s">
        <v>25</v>
      </c>
      <c r="D220" s="3" t="s">
        <v>17</v>
      </c>
      <c r="E220" s="3" t="s">
        <v>33</v>
      </c>
      <c r="F220" s="2" t="s">
        <v>163</v>
      </c>
      <c r="G220" s="4">
        <v>45398</v>
      </c>
      <c r="H220" s="4">
        <v>45409</v>
      </c>
      <c r="I220" s="5">
        <v>163766</v>
      </c>
      <c r="J220" s="5">
        <v>0</v>
      </c>
      <c r="K220" s="2" t="s">
        <v>20</v>
      </c>
      <c r="L220" s="3" t="s">
        <v>114</v>
      </c>
      <c r="M220" s="2" t="s">
        <v>132</v>
      </c>
      <c r="N220" s="2">
        <f t="shared" si="15"/>
        <v>11</v>
      </c>
      <c r="P220" t="str">
        <f t="shared" si="16"/>
        <v>Recorded</v>
      </c>
    </row>
    <row r="221" spans="1:16" ht="13.5" customHeight="1" x14ac:dyDescent="0.3">
      <c r="A221" s="2" t="s">
        <v>508</v>
      </c>
      <c r="B221" s="3" t="s">
        <v>509</v>
      </c>
      <c r="C221" s="3" t="s">
        <v>16</v>
      </c>
      <c r="D221" s="3" t="s">
        <v>17</v>
      </c>
      <c r="E221" s="3" t="s">
        <v>57</v>
      </c>
      <c r="F221" s="2" t="s">
        <v>66</v>
      </c>
      <c r="G221" s="4">
        <v>45450</v>
      </c>
      <c r="H221" s="4">
        <v>45466</v>
      </c>
      <c r="I221" s="5">
        <v>58846</v>
      </c>
      <c r="J221" s="5">
        <v>58846</v>
      </c>
      <c r="K221" s="2" t="s">
        <v>67</v>
      </c>
      <c r="L221" s="3"/>
      <c r="M221" s="2" t="s">
        <v>96</v>
      </c>
      <c r="N221" s="2">
        <f t="shared" si="15"/>
        <v>16</v>
      </c>
      <c r="P221" t="str">
        <f t="shared" si="16"/>
        <v>Recorded</v>
      </c>
    </row>
    <row r="222" spans="1:16" ht="13.5" customHeight="1" x14ac:dyDescent="0.3">
      <c r="A222" s="2" t="s">
        <v>510</v>
      </c>
      <c r="B222" s="3" t="s">
        <v>511</v>
      </c>
      <c r="C222" s="3" t="s">
        <v>70</v>
      </c>
      <c r="D222" s="3" t="s">
        <v>26</v>
      </c>
      <c r="E222" s="3" t="s">
        <v>41</v>
      </c>
      <c r="F222" s="2" t="s">
        <v>143</v>
      </c>
      <c r="G222" s="4">
        <v>45566</v>
      </c>
      <c r="H222" s="4">
        <v>45578</v>
      </c>
      <c r="I222" s="5">
        <v>606312</v>
      </c>
      <c r="J222" s="5">
        <v>331838</v>
      </c>
      <c r="K222" s="2" t="s">
        <v>35</v>
      </c>
      <c r="L222" s="3"/>
      <c r="M222" s="2" t="s">
        <v>96</v>
      </c>
      <c r="N222" s="2">
        <f t="shared" si="15"/>
        <v>12</v>
      </c>
      <c r="P222" t="str">
        <f t="shared" si="16"/>
        <v>Recorded</v>
      </c>
    </row>
    <row r="223" spans="1:16" ht="13.5" customHeight="1" x14ac:dyDescent="0.3">
      <c r="A223" s="2" t="s">
        <v>512</v>
      </c>
      <c r="B223" s="3" t="s">
        <v>513</v>
      </c>
      <c r="C223" s="3" t="s">
        <v>70</v>
      </c>
      <c r="D223" s="3" t="s">
        <v>56</v>
      </c>
      <c r="E223" s="3" t="s">
        <v>33</v>
      </c>
      <c r="F223" s="2" t="s">
        <v>47</v>
      </c>
      <c r="G223" s="4">
        <v>45340</v>
      </c>
      <c r="H223" s="4">
        <v>45345</v>
      </c>
      <c r="I223" s="5">
        <v>55364</v>
      </c>
      <c r="J223" s="5">
        <v>0</v>
      </c>
      <c r="K223" s="2" t="s">
        <v>20</v>
      </c>
      <c r="L223" s="3" t="s">
        <v>71</v>
      </c>
      <c r="M223" s="2" t="s">
        <v>132</v>
      </c>
      <c r="N223" s="2">
        <f t="shared" si="15"/>
        <v>5</v>
      </c>
      <c r="P223" t="str">
        <f t="shared" si="16"/>
        <v>Recorded</v>
      </c>
    </row>
    <row r="224" spans="1:16" ht="13.5" customHeight="1" x14ac:dyDescent="0.3">
      <c r="A224" s="2" t="s">
        <v>514</v>
      </c>
      <c r="B224" s="3" t="s">
        <v>515</v>
      </c>
      <c r="C224" s="3" t="s">
        <v>25</v>
      </c>
      <c r="D224" s="3" t="s">
        <v>40</v>
      </c>
      <c r="E224" s="3" t="s">
        <v>33</v>
      </c>
      <c r="F224" s="2" t="s">
        <v>163</v>
      </c>
      <c r="G224" s="4">
        <v>45337</v>
      </c>
      <c r="H224" s="4">
        <v>45341</v>
      </c>
      <c r="I224" s="5">
        <v>184035</v>
      </c>
      <c r="J224" s="5">
        <v>184035</v>
      </c>
      <c r="K224" s="2" t="s">
        <v>67</v>
      </c>
      <c r="L224" s="3"/>
      <c r="M224" s="2" t="s">
        <v>117</v>
      </c>
      <c r="N224" s="2">
        <f t="shared" si="15"/>
        <v>4</v>
      </c>
      <c r="P224" t="str">
        <f t="shared" si="16"/>
        <v>Recorded</v>
      </c>
    </row>
    <row r="225" spans="1:16" ht="13.5" customHeight="1" x14ac:dyDescent="0.3">
      <c r="A225" s="2" t="s">
        <v>516</v>
      </c>
      <c r="B225" s="3" t="s">
        <v>517</v>
      </c>
      <c r="C225" s="3" t="s">
        <v>16</v>
      </c>
      <c r="D225" s="3" t="s">
        <v>17</v>
      </c>
      <c r="E225" s="3" t="s">
        <v>18</v>
      </c>
      <c r="F225" s="2" t="s">
        <v>19</v>
      </c>
      <c r="G225" s="4">
        <v>45620</v>
      </c>
      <c r="H225" s="4">
        <v>45638</v>
      </c>
      <c r="I225" s="2"/>
      <c r="J225" s="5">
        <v>386280</v>
      </c>
      <c r="K225" s="2" t="s">
        <v>35</v>
      </c>
      <c r="L225" s="3"/>
      <c r="M225" s="2" t="s">
        <v>144</v>
      </c>
      <c r="N225" s="2">
        <f t="shared" si="15"/>
        <v>18</v>
      </c>
      <c r="P225" t="str">
        <f t="shared" si="16"/>
        <v>Missing</v>
      </c>
    </row>
    <row r="226" spans="1:16" ht="13.5" customHeight="1" x14ac:dyDescent="0.3">
      <c r="A226" s="2" t="s">
        <v>518</v>
      </c>
      <c r="B226" s="3" t="s">
        <v>519</v>
      </c>
      <c r="C226" s="3" t="s">
        <v>16</v>
      </c>
      <c r="D226" s="3" t="s">
        <v>62</v>
      </c>
      <c r="E226" s="3" t="s">
        <v>74</v>
      </c>
      <c r="F226" s="2" t="s">
        <v>47</v>
      </c>
      <c r="G226" s="4">
        <v>45631</v>
      </c>
      <c r="H226" s="4">
        <v>45640</v>
      </c>
      <c r="I226" s="5">
        <v>678230</v>
      </c>
      <c r="J226" s="5">
        <v>0</v>
      </c>
      <c r="K226" s="2" t="s">
        <v>20</v>
      </c>
      <c r="L226" s="3" t="s">
        <v>71</v>
      </c>
      <c r="M226" s="2" t="s">
        <v>78</v>
      </c>
      <c r="N226" s="2">
        <f t="shared" si="15"/>
        <v>9</v>
      </c>
      <c r="P226" t="str">
        <f t="shared" si="16"/>
        <v>Recorded</v>
      </c>
    </row>
    <row r="227" spans="1:16" ht="13.5" customHeight="1" x14ac:dyDescent="0.3">
      <c r="A227" s="2" t="s">
        <v>520</v>
      </c>
      <c r="B227" s="3" t="s">
        <v>521</v>
      </c>
      <c r="C227" s="3" t="s">
        <v>39</v>
      </c>
      <c r="D227" s="3" t="s">
        <v>40</v>
      </c>
      <c r="E227" s="3" t="s">
        <v>18</v>
      </c>
      <c r="F227" s="2" t="s">
        <v>19</v>
      </c>
      <c r="G227" s="4">
        <v>45402</v>
      </c>
      <c r="H227" s="4">
        <v>45413</v>
      </c>
      <c r="I227" s="5">
        <v>403201</v>
      </c>
      <c r="J227" s="5">
        <v>0</v>
      </c>
      <c r="K227" s="2" t="s">
        <v>20</v>
      </c>
      <c r="L227" s="3" t="s">
        <v>52</v>
      </c>
      <c r="M227" s="2" t="s">
        <v>121</v>
      </c>
      <c r="N227" s="2">
        <f t="shared" si="15"/>
        <v>11</v>
      </c>
      <c r="P227" t="str">
        <f t="shared" si="16"/>
        <v>Recorded</v>
      </c>
    </row>
    <row r="228" spans="1:16" ht="13.5" customHeight="1" x14ac:dyDescent="0.3">
      <c r="A228" s="2" t="s">
        <v>522</v>
      </c>
      <c r="B228" s="3" t="s">
        <v>523</v>
      </c>
      <c r="C228" s="3" t="s">
        <v>16</v>
      </c>
      <c r="D228" s="3" t="s">
        <v>56</v>
      </c>
      <c r="E228" s="3" t="s">
        <v>50</v>
      </c>
      <c r="F228" s="2" t="s">
        <v>81</v>
      </c>
      <c r="G228" s="4">
        <v>45488</v>
      </c>
      <c r="H228" s="4">
        <v>45505</v>
      </c>
      <c r="I228" s="5">
        <v>317806</v>
      </c>
      <c r="J228" s="5">
        <v>317806</v>
      </c>
      <c r="K228" s="2" t="s">
        <v>67</v>
      </c>
      <c r="L228" s="3"/>
      <c r="M228" s="2" t="s">
        <v>59</v>
      </c>
      <c r="N228" s="2">
        <f t="shared" si="15"/>
        <v>17</v>
      </c>
      <c r="P228" t="str">
        <f t="shared" si="16"/>
        <v>Recorded</v>
      </c>
    </row>
    <row r="229" spans="1:16" ht="13.5" customHeight="1" x14ac:dyDescent="0.3">
      <c r="A229" s="2" t="s">
        <v>524</v>
      </c>
      <c r="B229" s="3" t="s">
        <v>525</v>
      </c>
      <c r="C229" s="3" t="s">
        <v>70</v>
      </c>
      <c r="D229" s="3" t="s">
        <v>56</v>
      </c>
      <c r="E229" s="3" t="s">
        <v>74</v>
      </c>
      <c r="F229" s="2" t="s">
        <v>47</v>
      </c>
      <c r="G229" s="4">
        <v>45553</v>
      </c>
      <c r="H229" s="4">
        <v>45570</v>
      </c>
      <c r="I229" s="5">
        <v>835918</v>
      </c>
      <c r="J229" s="5">
        <v>835918</v>
      </c>
      <c r="K229" s="2" t="s">
        <v>67</v>
      </c>
      <c r="L229" s="3"/>
      <c r="M229" s="2" t="s">
        <v>53</v>
      </c>
      <c r="N229" s="2">
        <f t="shared" si="15"/>
        <v>17</v>
      </c>
      <c r="P229" t="str">
        <f t="shared" si="16"/>
        <v>Recorded</v>
      </c>
    </row>
    <row r="230" spans="1:16" ht="13.5" customHeight="1" x14ac:dyDescent="0.3">
      <c r="A230" s="2" t="s">
        <v>526</v>
      </c>
      <c r="B230" s="3" t="s">
        <v>527</v>
      </c>
      <c r="C230" s="3" t="s">
        <v>70</v>
      </c>
      <c r="D230" s="3" t="s">
        <v>26</v>
      </c>
      <c r="E230" s="3" t="s">
        <v>41</v>
      </c>
      <c r="F230" s="2" t="s">
        <v>42</v>
      </c>
      <c r="G230" s="4">
        <v>45633</v>
      </c>
      <c r="H230" s="4">
        <v>45652</v>
      </c>
      <c r="I230" s="5">
        <v>335535</v>
      </c>
      <c r="J230" s="5">
        <v>335535</v>
      </c>
      <c r="K230" s="2" t="s">
        <v>67</v>
      </c>
      <c r="L230" s="3"/>
      <c r="M230" s="2" t="s">
        <v>78</v>
      </c>
      <c r="N230" s="2">
        <f t="shared" si="15"/>
        <v>19</v>
      </c>
      <c r="P230" t="str">
        <f t="shared" si="16"/>
        <v>Recorded</v>
      </c>
    </row>
    <row r="231" spans="1:16" ht="13.5" customHeight="1" x14ac:dyDescent="0.3">
      <c r="A231" s="2" t="s">
        <v>528</v>
      </c>
      <c r="B231" s="3" t="s">
        <v>529</v>
      </c>
      <c r="C231" s="3" t="s">
        <v>25</v>
      </c>
      <c r="D231" s="3" t="s">
        <v>17</v>
      </c>
      <c r="E231" s="3" t="s">
        <v>57</v>
      </c>
      <c r="F231" s="2" t="s">
        <v>66</v>
      </c>
      <c r="G231" s="4">
        <v>45489</v>
      </c>
      <c r="H231" s="4">
        <v>45504</v>
      </c>
      <c r="I231" s="5">
        <v>392632</v>
      </c>
      <c r="J231" s="5">
        <v>392632</v>
      </c>
      <c r="K231" s="2" t="s">
        <v>67</v>
      </c>
      <c r="L231" s="3"/>
      <c r="M231" s="2" t="s">
        <v>144</v>
      </c>
      <c r="N231" s="2">
        <f t="shared" si="15"/>
        <v>15</v>
      </c>
      <c r="P231" t="str">
        <f t="shared" si="16"/>
        <v>Recorded</v>
      </c>
    </row>
    <row r="232" spans="1:16" ht="13.5" customHeight="1" x14ac:dyDescent="0.3">
      <c r="A232" s="2" t="s">
        <v>530</v>
      </c>
      <c r="B232" s="3" t="s">
        <v>531</v>
      </c>
      <c r="C232" s="3" t="s">
        <v>70</v>
      </c>
      <c r="D232" s="3" t="s">
        <v>26</v>
      </c>
      <c r="E232" s="3" t="s">
        <v>18</v>
      </c>
      <c r="F232" s="2" t="s">
        <v>19</v>
      </c>
      <c r="G232" s="4">
        <v>45492</v>
      </c>
      <c r="H232" s="4">
        <v>45513</v>
      </c>
      <c r="I232" s="5">
        <v>411178</v>
      </c>
      <c r="J232" s="5">
        <v>411178</v>
      </c>
      <c r="K232" s="2" t="s">
        <v>67</v>
      </c>
      <c r="L232" s="3"/>
      <c r="M232" s="2" t="s">
        <v>88</v>
      </c>
      <c r="N232" s="2">
        <f t="shared" si="15"/>
        <v>21</v>
      </c>
      <c r="P232" t="str">
        <f t="shared" si="16"/>
        <v>Recorded</v>
      </c>
    </row>
    <row r="233" spans="1:16" ht="13.5" customHeight="1" x14ac:dyDescent="0.3">
      <c r="A233" s="2" t="s">
        <v>532</v>
      </c>
      <c r="B233" s="3" t="s">
        <v>533</v>
      </c>
      <c r="C233" s="3" t="s">
        <v>16</v>
      </c>
      <c r="D233" s="3" t="s">
        <v>56</v>
      </c>
      <c r="E233" s="3" t="s">
        <v>41</v>
      </c>
      <c r="F233" s="2" t="s">
        <v>143</v>
      </c>
      <c r="G233" s="4">
        <v>45373</v>
      </c>
      <c r="H233" s="4">
        <v>45378</v>
      </c>
      <c r="I233" s="5">
        <v>36887</v>
      </c>
      <c r="J233" s="5">
        <v>36887</v>
      </c>
      <c r="K233" s="2" t="s">
        <v>67</v>
      </c>
      <c r="L233" s="3"/>
      <c r="M233" s="2" t="s">
        <v>121</v>
      </c>
      <c r="N233" s="2">
        <f t="shared" si="15"/>
        <v>5</v>
      </c>
      <c r="P233" t="str">
        <f t="shared" si="16"/>
        <v>Recorded</v>
      </c>
    </row>
    <row r="234" spans="1:16" ht="13.5" customHeight="1" x14ac:dyDescent="0.3">
      <c r="A234" s="2" t="s">
        <v>534</v>
      </c>
      <c r="B234" s="3" t="s">
        <v>535</v>
      </c>
      <c r="C234" s="3" t="s">
        <v>70</v>
      </c>
      <c r="D234" s="3" t="s">
        <v>40</v>
      </c>
      <c r="E234" s="3" t="s">
        <v>41</v>
      </c>
      <c r="F234" s="2" t="s">
        <v>42</v>
      </c>
      <c r="G234" s="4">
        <v>45319</v>
      </c>
      <c r="H234" s="4"/>
      <c r="I234" s="5">
        <v>22947</v>
      </c>
      <c r="J234" s="2"/>
      <c r="K234" s="2" t="s">
        <v>75</v>
      </c>
      <c r="L234" s="3"/>
      <c r="M234" s="2" t="s">
        <v>44</v>
      </c>
      <c r="N234" s="2" t="str">
        <f t="shared" si="15"/>
        <v>Pending</v>
      </c>
      <c r="P234" t="str">
        <f t="shared" si="16"/>
        <v>Recorded</v>
      </c>
    </row>
    <row r="235" spans="1:16" ht="13.5" customHeight="1" x14ac:dyDescent="0.3">
      <c r="A235" s="2" t="s">
        <v>536</v>
      </c>
      <c r="B235" s="3" t="s">
        <v>537</v>
      </c>
      <c r="C235" s="3" t="s">
        <v>39</v>
      </c>
      <c r="D235" s="3" t="s">
        <v>40</v>
      </c>
      <c r="E235" s="3" t="s">
        <v>33</v>
      </c>
      <c r="F235" s="2" t="s">
        <v>163</v>
      </c>
      <c r="G235" s="4">
        <v>45467</v>
      </c>
      <c r="H235" s="4">
        <v>45471</v>
      </c>
      <c r="I235" s="5">
        <v>342797</v>
      </c>
      <c r="J235" s="5">
        <v>0</v>
      </c>
      <c r="K235" s="2" t="s">
        <v>20</v>
      </c>
      <c r="L235" s="3" t="s">
        <v>114</v>
      </c>
      <c r="M235" s="2" t="s">
        <v>132</v>
      </c>
      <c r="N235" s="2">
        <f t="shared" si="15"/>
        <v>4</v>
      </c>
      <c r="P235" t="str">
        <f t="shared" si="16"/>
        <v>Recorded</v>
      </c>
    </row>
    <row r="236" spans="1:16" ht="13.5" customHeight="1" x14ac:dyDescent="0.3">
      <c r="A236" s="2" t="s">
        <v>538</v>
      </c>
      <c r="B236" s="3" t="s">
        <v>539</v>
      </c>
      <c r="C236" s="3" t="s">
        <v>70</v>
      </c>
      <c r="D236" s="3" t="s">
        <v>26</v>
      </c>
      <c r="E236" s="3" t="s">
        <v>33</v>
      </c>
      <c r="F236" s="2" t="s">
        <v>163</v>
      </c>
      <c r="G236" s="4">
        <v>45630</v>
      </c>
      <c r="H236" s="4">
        <v>45639</v>
      </c>
      <c r="I236" s="5">
        <v>269435</v>
      </c>
      <c r="J236" s="5">
        <v>269435</v>
      </c>
      <c r="K236" s="2" t="s">
        <v>67</v>
      </c>
      <c r="L236" s="3"/>
      <c r="M236" s="2" t="s">
        <v>53</v>
      </c>
      <c r="N236" s="2">
        <f t="shared" si="15"/>
        <v>9</v>
      </c>
      <c r="P236" t="str">
        <f t="shared" si="16"/>
        <v>Recorded</v>
      </c>
    </row>
    <row r="237" spans="1:16" ht="13.5" customHeight="1" x14ac:dyDescent="0.3">
      <c r="A237" s="2" t="s">
        <v>540</v>
      </c>
      <c r="B237" s="3" t="s">
        <v>541</v>
      </c>
      <c r="C237" s="3" t="s">
        <v>25</v>
      </c>
      <c r="D237" s="3" t="s">
        <v>56</v>
      </c>
      <c r="E237" s="3" t="s">
        <v>41</v>
      </c>
      <c r="F237" s="2" t="s">
        <v>143</v>
      </c>
      <c r="G237" s="4">
        <v>45371</v>
      </c>
      <c r="H237" s="4">
        <v>45381</v>
      </c>
      <c r="I237" s="5">
        <v>888345</v>
      </c>
      <c r="J237" s="5">
        <v>888345</v>
      </c>
      <c r="K237" s="2" t="s">
        <v>67</v>
      </c>
      <c r="L237" s="3"/>
      <c r="M237" s="2" t="s">
        <v>22</v>
      </c>
      <c r="N237" s="2">
        <f t="shared" si="15"/>
        <v>10</v>
      </c>
      <c r="P237" t="str">
        <f t="shared" si="16"/>
        <v>Recorded</v>
      </c>
    </row>
    <row r="238" spans="1:16" ht="13.5" customHeight="1" x14ac:dyDescent="0.3">
      <c r="A238" s="2" t="s">
        <v>542</v>
      </c>
      <c r="B238" s="3" t="s">
        <v>543</v>
      </c>
      <c r="C238" s="3" t="s">
        <v>25</v>
      </c>
      <c r="D238" s="3" t="s">
        <v>17</v>
      </c>
      <c r="E238" s="3" t="s">
        <v>18</v>
      </c>
      <c r="F238" s="2" t="s">
        <v>105</v>
      </c>
      <c r="G238" s="4">
        <v>45645</v>
      </c>
      <c r="H238" s="4">
        <v>45670</v>
      </c>
      <c r="I238" s="5">
        <v>655592</v>
      </c>
      <c r="J238" s="5">
        <v>411372</v>
      </c>
      <c r="K238" s="2" t="s">
        <v>35</v>
      </c>
      <c r="L238" s="3"/>
      <c r="M238" s="2" t="s">
        <v>93</v>
      </c>
      <c r="N238" s="2">
        <f t="shared" si="15"/>
        <v>25</v>
      </c>
      <c r="P238" t="str">
        <f t="shared" si="16"/>
        <v>Recorded</v>
      </c>
    </row>
    <row r="239" spans="1:16" ht="13.5" customHeight="1" x14ac:dyDescent="0.3">
      <c r="A239" s="2" t="s">
        <v>544</v>
      </c>
      <c r="B239" s="3" t="s">
        <v>545</v>
      </c>
      <c r="C239" s="3" t="s">
        <v>70</v>
      </c>
      <c r="D239" s="3" t="s">
        <v>26</v>
      </c>
      <c r="E239" s="3" t="s">
        <v>33</v>
      </c>
      <c r="F239" s="2" t="s">
        <v>47</v>
      </c>
      <c r="G239" s="4">
        <v>45473</v>
      </c>
      <c r="H239" s="4">
        <v>45475</v>
      </c>
      <c r="I239" s="5">
        <v>525674</v>
      </c>
      <c r="J239" s="5">
        <v>525674</v>
      </c>
      <c r="K239" s="2" t="s">
        <v>67</v>
      </c>
      <c r="L239" s="3"/>
      <c r="M239" s="2" t="s">
        <v>144</v>
      </c>
      <c r="N239" s="2">
        <f t="shared" si="15"/>
        <v>2</v>
      </c>
      <c r="P239" t="str">
        <f t="shared" si="16"/>
        <v>Recorded</v>
      </c>
    </row>
    <row r="240" spans="1:16" ht="13.5" customHeight="1" x14ac:dyDescent="0.3">
      <c r="A240" s="2" t="s">
        <v>546</v>
      </c>
      <c r="B240" s="3" t="s">
        <v>547</v>
      </c>
      <c r="C240" s="3" t="s">
        <v>70</v>
      </c>
      <c r="D240" s="3" t="s">
        <v>40</v>
      </c>
      <c r="E240" s="3" t="s">
        <v>18</v>
      </c>
      <c r="F240" s="2" t="s">
        <v>19</v>
      </c>
      <c r="G240" s="4">
        <v>45479</v>
      </c>
      <c r="H240" s="4">
        <v>45486</v>
      </c>
      <c r="I240" s="5">
        <v>874154</v>
      </c>
      <c r="J240" s="5">
        <v>398015</v>
      </c>
      <c r="K240" s="2" t="s">
        <v>35</v>
      </c>
      <c r="L240" s="3"/>
      <c r="M240" s="2" t="s">
        <v>93</v>
      </c>
      <c r="N240" s="2">
        <f t="shared" si="15"/>
        <v>7</v>
      </c>
      <c r="P240" t="str">
        <f t="shared" si="16"/>
        <v>Recorded</v>
      </c>
    </row>
    <row r="241" spans="1:16" ht="13.5" customHeight="1" x14ac:dyDescent="0.3">
      <c r="A241" s="2" t="s">
        <v>548</v>
      </c>
      <c r="B241" s="3" t="s">
        <v>549</v>
      </c>
      <c r="C241" s="3" t="s">
        <v>70</v>
      </c>
      <c r="D241" s="3" t="s">
        <v>17</v>
      </c>
      <c r="E241" s="3" t="s">
        <v>41</v>
      </c>
      <c r="F241" s="2" t="s">
        <v>42</v>
      </c>
      <c r="G241" s="4">
        <v>45412</v>
      </c>
      <c r="H241" s="4">
        <v>45427</v>
      </c>
      <c r="I241" s="5">
        <v>825862</v>
      </c>
      <c r="J241" s="5">
        <v>825862</v>
      </c>
      <c r="K241" s="2" t="s">
        <v>67</v>
      </c>
      <c r="L241" s="3"/>
      <c r="M241" s="2" t="s">
        <v>88</v>
      </c>
      <c r="N241" s="2">
        <f t="shared" si="15"/>
        <v>15</v>
      </c>
      <c r="P241" t="str">
        <f t="shared" si="16"/>
        <v>Recorded</v>
      </c>
    </row>
    <row r="242" spans="1:16" ht="13.5" customHeight="1" x14ac:dyDescent="0.3">
      <c r="A242" s="2" t="s">
        <v>550</v>
      </c>
      <c r="B242" s="3" t="s">
        <v>551</v>
      </c>
      <c r="C242" s="3" t="s">
        <v>39</v>
      </c>
      <c r="D242" s="3" t="s">
        <v>56</v>
      </c>
      <c r="E242" s="3" t="s">
        <v>33</v>
      </c>
      <c r="F242" s="2" t="s">
        <v>34</v>
      </c>
      <c r="G242" s="4">
        <v>45322</v>
      </c>
      <c r="H242" s="4">
        <v>45333</v>
      </c>
      <c r="I242" s="5">
        <v>949796</v>
      </c>
      <c r="J242" s="5">
        <v>949796</v>
      </c>
      <c r="K242" s="2" t="s">
        <v>67</v>
      </c>
      <c r="L242" s="3"/>
      <c r="M242" s="2" t="s">
        <v>59</v>
      </c>
      <c r="N242" s="2">
        <f t="shared" si="15"/>
        <v>11</v>
      </c>
      <c r="P242" t="str">
        <f t="shared" si="16"/>
        <v>Recorded</v>
      </c>
    </row>
    <row r="243" spans="1:16" ht="13.5" customHeight="1" x14ac:dyDescent="0.3">
      <c r="A243" s="2" t="s">
        <v>552</v>
      </c>
      <c r="B243" s="3" t="s">
        <v>553</v>
      </c>
      <c r="C243" s="3" t="s">
        <v>25</v>
      </c>
      <c r="D243" s="3" t="s">
        <v>17</v>
      </c>
      <c r="E243" s="3" t="s">
        <v>50</v>
      </c>
      <c r="F243" s="2" t="s">
        <v>51</v>
      </c>
      <c r="G243" s="4">
        <v>45491</v>
      </c>
      <c r="H243" s="4">
        <v>45503</v>
      </c>
      <c r="I243" s="5">
        <v>631609</v>
      </c>
      <c r="J243" s="5">
        <v>631609</v>
      </c>
      <c r="K243" s="2" t="s">
        <v>67</v>
      </c>
      <c r="L243" s="3"/>
      <c r="M243" s="2" t="s">
        <v>96</v>
      </c>
      <c r="N243" s="2">
        <f t="shared" si="15"/>
        <v>12</v>
      </c>
      <c r="P243" t="str">
        <f t="shared" si="16"/>
        <v>Recorded</v>
      </c>
    </row>
    <row r="244" spans="1:16" ht="13.5" customHeight="1" x14ac:dyDescent="0.3">
      <c r="A244" s="2" t="s">
        <v>554</v>
      </c>
      <c r="B244" s="3" t="s">
        <v>555</v>
      </c>
      <c r="C244" s="3" t="s">
        <v>70</v>
      </c>
      <c r="D244" s="3" t="s">
        <v>26</v>
      </c>
      <c r="E244" s="3" t="s">
        <v>41</v>
      </c>
      <c r="F244" s="2" t="s">
        <v>143</v>
      </c>
      <c r="G244" s="4">
        <v>45573</v>
      </c>
      <c r="H244" s="4">
        <v>45584</v>
      </c>
      <c r="I244" s="5">
        <v>443019</v>
      </c>
      <c r="J244" s="5">
        <v>443019</v>
      </c>
      <c r="K244" s="2" t="s">
        <v>67</v>
      </c>
      <c r="L244" s="3"/>
      <c r="M244" s="2" t="s">
        <v>144</v>
      </c>
      <c r="N244" s="2">
        <f t="shared" si="15"/>
        <v>11</v>
      </c>
      <c r="P244" t="str">
        <f t="shared" si="16"/>
        <v>Recorded</v>
      </c>
    </row>
    <row r="245" spans="1:16" ht="13.5" customHeight="1" x14ac:dyDescent="0.3">
      <c r="A245" s="2" t="s">
        <v>556</v>
      </c>
      <c r="B245" s="3" t="s">
        <v>557</v>
      </c>
      <c r="C245" s="3" t="s">
        <v>70</v>
      </c>
      <c r="D245" s="3" t="s">
        <v>56</v>
      </c>
      <c r="E245" s="3" t="s">
        <v>27</v>
      </c>
      <c r="F245" s="2" t="s">
        <v>28</v>
      </c>
      <c r="G245" s="4">
        <v>45492</v>
      </c>
      <c r="H245" s="4">
        <v>45495</v>
      </c>
      <c r="I245" s="5">
        <v>143580</v>
      </c>
      <c r="J245" s="5">
        <v>143580</v>
      </c>
      <c r="K245" s="2" t="s">
        <v>67</v>
      </c>
      <c r="L245" s="3"/>
      <c r="M245" s="2" t="s">
        <v>30</v>
      </c>
      <c r="N245" s="2">
        <f t="shared" si="15"/>
        <v>3</v>
      </c>
      <c r="P245" t="str">
        <f t="shared" si="16"/>
        <v>Recorded</v>
      </c>
    </row>
    <row r="246" spans="1:16" ht="13.5" customHeight="1" x14ac:dyDescent="0.3">
      <c r="A246" s="2" t="s">
        <v>558</v>
      </c>
      <c r="B246" s="3" t="s">
        <v>559</v>
      </c>
      <c r="C246" s="3" t="s">
        <v>70</v>
      </c>
      <c r="D246" s="3" t="s">
        <v>40</v>
      </c>
      <c r="E246" s="3" t="s">
        <v>27</v>
      </c>
      <c r="F246" s="2" t="s">
        <v>120</v>
      </c>
      <c r="G246" s="4">
        <v>45628</v>
      </c>
      <c r="H246" s="4">
        <v>45634</v>
      </c>
      <c r="I246" s="2"/>
      <c r="J246" s="5">
        <v>98489</v>
      </c>
      <c r="K246" s="2" t="s">
        <v>35</v>
      </c>
      <c r="L246" s="3"/>
      <c r="M246" s="2" t="s">
        <v>88</v>
      </c>
      <c r="N246" s="2">
        <f t="shared" si="15"/>
        <v>6</v>
      </c>
      <c r="P246" t="str">
        <f t="shared" si="16"/>
        <v>Missing</v>
      </c>
    </row>
    <row r="247" spans="1:16" ht="13.5" customHeight="1" x14ac:dyDescent="0.3">
      <c r="A247" s="2" t="s">
        <v>560</v>
      </c>
      <c r="B247" s="3" t="s">
        <v>561</v>
      </c>
      <c r="C247" s="3" t="s">
        <v>25</v>
      </c>
      <c r="D247" s="3" t="s">
        <v>40</v>
      </c>
      <c r="E247" s="3" t="s">
        <v>50</v>
      </c>
      <c r="F247" s="2" t="s">
        <v>51</v>
      </c>
      <c r="G247" s="4">
        <v>45315</v>
      </c>
      <c r="H247" s="4">
        <v>45330</v>
      </c>
      <c r="I247" s="2"/>
      <c r="J247" s="5">
        <v>290105</v>
      </c>
      <c r="K247" s="2" t="s">
        <v>67</v>
      </c>
      <c r="L247" s="3"/>
      <c r="M247" s="2" t="s">
        <v>53</v>
      </c>
      <c r="N247" s="2">
        <f t="shared" si="15"/>
        <v>15</v>
      </c>
      <c r="P247" t="str">
        <f t="shared" si="16"/>
        <v>Missing</v>
      </c>
    </row>
    <row r="248" spans="1:16" ht="13.5" customHeight="1" x14ac:dyDescent="0.3">
      <c r="A248" s="2" t="s">
        <v>562</v>
      </c>
      <c r="B248" s="3" t="s">
        <v>563</v>
      </c>
      <c r="C248" s="3" t="s">
        <v>70</v>
      </c>
      <c r="D248" s="3" t="s">
        <v>40</v>
      </c>
      <c r="E248" s="3" t="s">
        <v>18</v>
      </c>
      <c r="F248" s="2" t="s">
        <v>105</v>
      </c>
      <c r="G248" s="4">
        <v>45638</v>
      </c>
      <c r="H248" s="4">
        <v>45647</v>
      </c>
      <c r="I248" s="5">
        <v>224621</v>
      </c>
      <c r="J248" s="5">
        <v>224621</v>
      </c>
      <c r="K248" s="2" t="s">
        <v>67</v>
      </c>
      <c r="L248" s="3"/>
      <c r="M248" s="2" t="s">
        <v>96</v>
      </c>
      <c r="N248" s="2">
        <f t="shared" si="15"/>
        <v>9</v>
      </c>
      <c r="P248" t="str">
        <f t="shared" si="16"/>
        <v>Recorded</v>
      </c>
    </row>
    <row r="249" spans="1:16" ht="13.5" customHeight="1" x14ac:dyDescent="0.3">
      <c r="A249" s="2" t="s">
        <v>564</v>
      </c>
      <c r="B249" s="3" t="s">
        <v>565</v>
      </c>
      <c r="C249" s="3" t="s">
        <v>25</v>
      </c>
      <c r="D249" s="3" t="s">
        <v>26</v>
      </c>
      <c r="E249" s="3" t="s">
        <v>74</v>
      </c>
      <c r="F249" s="2" t="s">
        <v>34</v>
      </c>
      <c r="G249" s="4">
        <v>45586</v>
      </c>
      <c r="H249" s="4">
        <v>45591</v>
      </c>
      <c r="I249" s="5">
        <v>135403</v>
      </c>
      <c r="J249" s="5">
        <v>135403</v>
      </c>
      <c r="K249" s="2" t="s">
        <v>67</v>
      </c>
      <c r="L249" s="3"/>
      <c r="M249" s="2" t="s">
        <v>88</v>
      </c>
      <c r="N249" s="2">
        <f t="shared" si="15"/>
        <v>5</v>
      </c>
      <c r="P249" t="str">
        <f t="shared" si="16"/>
        <v>Recorded</v>
      </c>
    </row>
    <row r="250" spans="1:16" ht="13.5" customHeight="1" x14ac:dyDescent="0.3">
      <c r="A250" s="2" t="s">
        <v>566</v>
      </c>
      <c r="B250" s="3" t="s">
        <v>567</v>
      </c>
      <c r="C250" s="3" t="s">
        <v>70</v>
      </c>
      <c r="D250" s="3" t="s">
        <v>17</v>
      </c>
      <c r="E250" s="3" t="s">
        <v>50</v>
      </c>
      <c r="F250" s="2" t="s">
        <v>81</v>
      </c>
      <c r="G250" s="4">
        <v>45400</v>
      </c>
      <c r="H250" s="4">
        <v>45421</v>
      </c>
      <c r="I250" s="5">
        <v>488121</v>
      </c>
      <c r="J250" s="5">
        <v>488121</v>
      </c>
      <c r="K250" s="2" t="s">
        <v>67</v>
      </c>
      <c r="L250" s="3"/>
      <c r="M250" s="2" t="s">
        <v>59</v>
      </c>
      <c r="N250" s="2">
        <f t="shared" si="15"/>
        <v>21</v>
      </c>
      <c r="P250" t="str">
        <f t="shared" si="16"/>
        <v>Recorded</v>
      </c>
    </row>
    <row r="251" spans="1:16" ht="13.5" customHeight="1" x14ac:dyDescent="0.3">
      <c r="A251" s="2" t="s">
        <v>568</v>
      </c>
      <c r="B251" s="3" t="s">
        <v>569</v>
      </c>
      <c r="C251" s="3" t="s">
        <v>25</v>
      </c>
      <c r="D251" s="3" t="s">
        <v>17</v>
      </c>
      <c r="E251" s="3" t="s">
        <v>18</v>
      </c>
      <c r="F251" s="2" t="s">
        <v>19</v>
      </c>
      <c r="G251" s="4">
        <v>45536</v>
      </c>
      <c r="H251" s="4">
        <v>45543</v>
      </c>
      <c r="I251" s="5">
        <v>206339</v>
      </c>
      <c r="J251" s="5">
        <v>206339</v>
      </c>
      <c r="K251" s="2" t="s">
        <v>67</v>
      </c>
      <c r="L251" s="3"/>
      <c r="M251" s="2" t="s">
        <v>22</v>
      </c>
      <c r="N251" s="2">
        <f t="shared" si="15"/>
        <v>7</v>
      </c>
      <c r="P251" t="str">
        <f t="shared" si="16"/>
        <v>Recorded</v>
      </c>
    </row>
    <row r="252" spans="1:16" ht="13.5" customHeight="1" x14ac:dyDescent="0.3">
      <c r="A252" s="2" t="s">
        <v>570</v>
      </c>
      <c r="B252" s="3" t="s">
        <v>571</v>
      </c>
      <c r="C252" s="3" t="s">
        <v>25</v>
      </c>
      <c r="D252" s="3" t="s">
        <v>40</v>
      </c>
      <c r="E252" s="3" t="s">
        <v>27</v>
      </c>
      <c r="F252" s="2" t="s">
        <v>28</v>
      </c>
      <c r="G252" s="4">
        <v>45326</v>
      </c>
      <c r="H252" s="4">
        <v>45333</v>
      </c>
      <c r="I252" s="5">
        <v>798160</v>
      </c>
      <c r="J252" s="5">
        <v>798160</v>
      </c>
      <c r="K252" s="2" t="s">
        <v>67</v>
      </c>
      <c r="L252" s="3"/>
      <c r="M252" s="2" t="s">
        <v>63</v>
      </c>
      <c r="N252" s="2">
        <f t="shared" si="15"/>
        <v>7</v>
      </c>
      <c r="P252" t="str">
        <f t="shared" si="16"/>
        <v>Recorded</v>
      </c>
    </row>
    <row r="253" spans="1:16" ht="13.5" customHeight="1" x14ac:dyDescent="0.3">
      <c r="A253" s="2" t="s">
        <v>572</v>
      </c>
      <c r="B253" s="3" t="s">
        <v>573</v>
      </c>
      <c r="C253" s="3" t="s">
        <v>70</v>
      </c>
      <c r="D253" s="3" t="s">
        <v>56</v>
      </c>
      <c r="E253" s="3" t="s">
        <v>57</v>
      </c>
      <c r="F253" s="2" t="s">
        <v>113</v>
      </c>
      <c r="G253" s="4">
        <v>45472</v>
      </c>
      <c r="H253" s="4">
        <v>45477</v>
      </c>
      <c r="I253" s="5">
        <v>110443</v>
      </c>
      <c r="J253" s="5">
        <v>43164</v>
      </c>
      <c r="K253" s="2" t="s">
        <v>35</v>
      </c>
      <c r="L253" s="3"/>
      <c r="M253" s="2" t="s">
        <v>132</v>
      </c>
      <c r="N253" s="2">
        <f t="shared" si="15"/>
        <v>5</v>
      </c>
      <c r="P253" t="str">
        <f t="shared" si="16"/>
        <v>Recorded</v>
      </c>
    </row>
    <row r="254" spans="1:16" ht="13.5" customHeight="1" x14ac:dyDescent="0.3">
      <c r="A254" s="2" t="s">
        <v>574</v>
      </c>
      <c r="B254" s="3" t="s">
        <v>575</v>
      </c>
      <c r="C254" s="3" t="s">
        <v>70</v>
      </c>
      <c r="D254" s="3" t="s">
        <v>62</v>
      </c>
      <c r="E254" s="3" t="s">
        <v>33</v>
      </c>
      <c r="F254" s="2" t="s">
        <v>47</v>
      </c>
      <c r="G254" s="4">
        <v>45581</v>
      </c>
      <c r="H254" s="4">
        <v>45592</v>
      </c>
      <c r="I254" s="5">
        <v>322382</v>
      </c>
      <c r="J254" s="5">
        <v>245060</v>
      </c>
      <c r="K254" s="2" t="s">
        <v>35</v>
      </c>
      <c r="L254" s="3"/>
      <c r="M254" s="2" t="s">
        <v>78</v>
      </c>
      <c r="N254" s="2">
        <f t="shared" si="15"/>
        <v>11</v>
      </c>
      <c r="P254" t="str">
        <f t="shared" si="16"/>
        <v>Recorded</v>
      </c>
    </row>
    <row r="255" spans="1:16" ht="13.5" customHeight="1" x14ac:dyDescent="0.3">
      <c r="A255" s="2" t="s">
        <v>576</v>
      </c>
      <c r="B255" s="3" t="s">
        <v>577</v>
      </c>
      <c r="C255" s="3" t="s">
        <v>70</v>
      </c>
      <c r="D255" s="3" t="s">
        <v>56</v>
      </c>
      <c r="E255" s="3" t="s">
        <v>18</v>
      </c>
      <c r="F255" s="2" t="s">
        <v>19</v>
      </c>
      <c r="G255" s="4">
        <v>45356</v>
      </c>
      <c r="H255" s="4">
        <v>45367</v>
      </c>
      <c r="I255" s="5">
        <v>562933</v>
      </c>
      <c r="J255" s="5">
        <v>0</v>
      </c>
      <c r="K255" s="2" t="s">
        <v>20</v>
      </c>
      <c r="L255" s="3" t="s">
        <v>21</v>
      </c>
      <c r="M255" s="2" t="s">
        <v>93</v>
      </c>
      <c r="N255" s="2">
        <f t="shared" si="15"/>
        <v>11</v>
      </c>
      <c r="P255" t="str">
        <f t="shared" si="16"/>
        <v>Recorded</v>
      </c>
    </row>
    <row r="256" spans="1:16" ht="13.5" customHeight="1" x14ac:dyDescent="0.3">
      <c r="A256" s="2" t="s">
        <v>578</v>
      </c>
      <c r="B256" s="3" t="s">
        <v>579</v>
      </c>
      <c r="C256" s="3" t="s">
        <v>39</v>
      </c>
      <c r="D256" s="3" t="s">
        <v>26</v>
      </c>
      <c r="E256" s="3" t="s">
        <v>33</v>
      </c>
      <c r="F256" s="2" t="s">
        <v>47</v>
      </c>
      <c r="G256" s="4">
        <v>45447</v>
      </c>
      <c r="H256" s="4">
        <v>45463</v>
      </c>
      <c r="I256" s="5">
        <v>937912</v>
      </c>
      <c r="J256" s="5">
        <v>937912</v>
      </c>
      <c r="K256" s="2" t="s">
        <v>67</v>
      </c>
      <c r="L256" s="3"/>
      <c r="M256" s="2" t="s">
        <v>59</v>
      </c>
      <c r="N256" s="2">
        <f t="shared" si="15"/>
        <v>16</v>
      </c>
      <c r="P256" t="str">
        <f t="shared" si="16"/>
        <v>Recorded</v>
      </c>
    </row>
    <row r="257" spans="1:16" ht="13.5" customHeight="1" x14ac:dyDescent="0.3">
      <c r="A257" s="2" t="s">
        <v>580</v>
      </c>
      <c r="B257" s="3" t="s">
        <v>581</v>
      </c>
      <c r="C257" s="3" t="s">
        <v>25</v>
      </c>
      <c r="D257" s="3" t="s">
        <v>26</v>
      </c>
      <c r="E257" s="3" t="s">
        <v>27</v>
      </c>
      <c r="F257" s="2" t="s">
        <v>28</v>
      </c>
      <c r="G257" s="4">
        <v>45340</v>
      </c>
      <c r="H257" s="4">
        <v>45359</v>
      </c>
      <c r="I257" s="5">
        <v>517938</v>
      </c>
      <c r="J257" s="5">
        <v>517938</v>
      </c>
      <c r="K257" s="2" t="s">
        <v>67</v>
      </c>
      <c r="L257" s="3"/>
      <c r="M257" s="2" t="s">
        <v>144</v>
      </c>
      <c r="N257" s="2">
        <f t="shared" si="15"/>
        <v>19</v>
      </c>
      <c r="P257" t="str">
        <f t="shared" si="16"/>
        <v>Recorded</v>
      </c>
    </row>
    <row r="258" spans="1:16" ht="13.5" customHeight="1" x14ac:dyDescent="0.3">
      <c r="A258" s="2" t="s">
        <v>582</v>
      </c>
      <c r="B258" s="3" t="s">
        <v>583</v>
      </c>
      <c r="C258" s="3" t="s">
        <v>25</v>
      </c>
      <c r="D258" s="3" t="s">
        <v>62</v>
      </c>
      <c r="E258" s="3" t="s">
        <v>41</v>
      </c>
      <c r="F258" s="2" t="s">
        <v>143</v>
      </c>
      <c r="G258" s="4">
        <v>45549</v>
      </c>
      <c r="H258" s="4">
        <v>45553</v>
      </c>
      <c r="I258" s="5">
        <v>104408</v>
      </c>
      <c r="J258" s="5">
        <v>65740</v>
      </c>
      <c r="K258" s="2" t="s">
        <v>35</v>
      </c>
      <c r="L258" s="3"/>
      <c r="M258" s="2" t="s">
        <v>121</v>
      </c>
      <c r="N258" s="2">
        <f t="shared" si="15"/>
        <v>4</v>
      </c>
      <c r="P258" t="str">
        <f t="shared" si="16"/>
        <v>Recorded</v>
      </c>
    </row>
    <row r="259" spans="1:16" ht="13.5" customHeight="1" x14ac:dyDescent="0.3">
      <c r="A259" s="2" t="s">
        <v>584</v>
      </c>
      <c r="B259" s="3" t="s">
        <v>585</v>
      </c>
      <c r="C259" s="3" t="s">
        <v>70</v>
      </c>
      <c r="D259" s="3" t="s">
        <v>40</v>
      </c>
      <c r="E259" s="3" t="s">
        <v>18</v>
      </c>
      <c r="F259" s="2" t="s">
        <v>19</v>
      </c>
      <c r="G259" s="4">
        <v>45539</v>
      </c>
      <c r="H259" s="4">
        <v>45553</v>
      </c>
      <c r="I259" s="5">
        <v>908241</v>
      </c>
      <c r="J259" s="5">
        <v>908241</v>
      </c>
      <c r="K259" s="2" t="s">
        <v>67</v>
      </c>
      <c r="L259" s="3"/>
      <c r="M259" s="2" t="s">
        <v>30</v>
      </c>
      <c r="N259" s="2">
        <f t="shared" ref="N259:N301" si="17">IF(H259="","Pending",H259-G259)</f>
        <v>14</v>
      </c>
      <c r="P259" t="str">
        <f t="shared" ref="P259:P301" si="18">IF(I259 = "", "Missing", "Recorded")</f>
        <v>Recorded</v>
      </c>
    </row>
    <row r="260" spans="1:16" ht="13.5" customHeight="1" x14ac:dyDescent="0.3">
      <c r="A260" s="2" t="s">
        <v>586</v>
      </c>
      <c r="B260" s="3" t="s">
        <v>587</v>
      </c>
      <c r="C260" s="3" t="s">
        <v>70</v>
      </c>
      <c r="D260" s="3" t="s">
        <v>62</v>
      </c>
      <c r="E260" s="3" t="s">
        <v>27</v>
      </c>
      <c r="F260" s="2" t="s">
        <v>28</v>
      </c>
      <c r="G260" s="4">
        <v>45342</v>
      </c>
      <c r="H260" s="4">
        <v>45363</v>
      </c>
      <c r="I260" s="5">
        <v>428367</v>
      </c>
      <c r="J260" s="5">
        <v>428367</v>
      </c>
      <c r="K260" s="2" t="s">
        <v>67</v>
      </c>
      <c r="L260" s="3"/>
      <c r="M260" s="2" t="s">
        <v>132</v>
      </c>
      <c r="N260" s="2">
        <f t="shared" si="17"/>
        <v>21</v>
      </c>
      <c r="P260" t="str">
        <f t="shared" si="18"/>
        <v>Recorded</v>
      </c>
    </row>
    <row r="261" spans="1:16" ht="13.5" customHeight="1" x14ac:dyDescent="0.3">
      <c r="A261" s="2" t="s">
        <v>588</v>
      </c>
      <c r="B261" s="3" t="s">
        <v>589</v>
      </c>
      <c r="C261" s="3" t="s">
        <v>39</v>
      </c>
      <c r="D261" s="3" t="s">
        <v>26</v>
      </c>
      <c r="E261" s="3" t="s">
        <v>74</v>
      </c>
      <c r="F261" s="2" t="s">
        <v>47</v>
      </c>
      <c r="G261" s="4">
        <v>45306</v>
      </c>
      <c r="H261" s="4"/>
      <c r="I261" s="5">
        <v>669542</v>
      </c>
      <c r="J261" s="2"/>
      <c r="K261" s="2" t="s">
        <v>75</v>
      </c>
      <c r="L261" s="3"/>
      <c r="M261" s="2" t="s">
        <v>93</v>
      </c>
      <c r="N261" s="2" t="str">
        <f t="shared" si="17"/>
        <v>Pending</v>
      </c>
      <c r="P261" t="str">
        <f t="shared" si="18"/>
        <v>Recorded</v>
      </c>
    </row>
    <row r="262" spans="1:16" ht="13.5" customHeight="1" x14ac:dyDescent="0.3">
      <c r="A262" s="2" t="s">
        <v>590</v>
      </c>
      <c r="B262" s="3" t="s">
        <v>591</v>
      </c>
      <c r="C262" s="3" t="s">
        <v>70</v>
      </c>
      <c r="D262" s="3" t="s">
        <v>56</v>
      </c>
      <c r="E262" s="3" t="s">
        <v>41</v>
      </c>
      <c r="F262" s="2" t="s">
        <v>42</v>
      </c>
      <c r="G262" s="4">
        <v>45445</v>
      </c>
      <c r="H262" s="4">
        <v>45450</v>
      </c>
      <c r="I262" s="5">
        <v>849956</v>
      </c>
      <c r="J262" s="5">
        <v>849956</v>
      </c>
      <c r="K262" s="2" t="s">
        <v>67</v>
      </c>
      <c r="L262" s="3"/>
      <c r="M262" s="2" t="s">
        <v>78</v>
      </c>
      <c r="N262" s="2">
        <f t="shared" si="17"/>
        <v>5</v>
      </c>
      <c r="P262" t="str">
        <f t="shared" si="18"/>
        <v>Recorded</v>
      </c>
    </row>
    <row r="263" spans="1:16" ht="13.5" customHeight="1" x14ac:dyDescent="0.3">
      <c r="A263" s="2" t="s">
        <v>592</v>
      </c>
      <c r="B263" s="3" t="s">
        <v>593</v>
      </c>
      <c r="C263" s="3" t="s">
        <v>25</v>
      </c>
      <c r="D263" s="3" t="s">
        <v>56</v>
      </c>
      <c r="E263" s="3" t="s">
        <v>18</v>
      </c>
      <c r="F263" s="2" t="s">
        <v>105</v>
      </c>
      <c r="G263" s="4">
        <v>45471</v>
      </c>
      <c r="H263" s="4">
        <v>45483</v>
      </c>
      <c r="I263" s="5">
        <v>58759</v>
      </c>
      <c r="J263" s="5">
        <v>58759</v>
      </c>
      <c r="K263" s="2" t="s">
        <v>67</v>
      </c>
      <c r="L263" s="3"/>
      <c r="M263" s="2" t="s">
        <v>88</v>
      </c>
      <c r="N263" s="2">
        <f t="shared" si="17"/>
        <v>12</v>
      </c>
      <c r="P263" t="str">
        <f t="shared" si="18"/>
        <v>Recorded</v>
      </c>
    </row>
    <row r="264" spans="1:16" ht="13.5" customHeight="1" x14ac:dyDescent="0.3">
      <c r="A264" s="2" t="s">
        <v>594</v>
      </c>
      <c r="B264" s="3" t="s">
        <v>595</v>
      </c>
      <c r="C264" s="3" t="s">
        <v>70</v>
      </c>
      <c r="D264" s="3" t="s">
        <v>26</v>
      </c>
      <c r="E264" s="3" t="s">
        <v>41</v>
      </c>
      <c r="F264" s="2" t="s">
        <v>143</v>
      </c>
      <c r="G264" s="4">
        <v>45538</v>
      </c>
      <c r="H264" s="4">
        <v>45547</v>
      </c>
      <c r="I264" s="5">
        <v>845720</v>
      </c>
      <c r="J264" s="5">
        <v>845720</v>
      </c>
      <c r="K264" s="2" t="s">
        <v>67</v>
      </c>
      <c r="L264" s="3"/>
      <c r="M264" s="2" t="s">
        <v>30</v>
      </c>
      <c r="N264" s="2">
        <f t="shared" si="17"/>
        <v>9</v>
      </c>
      <c r="P264" t="str">
        <f t="shared" si="18"/>
        <v>Recorded</v>
      </c>
    </row>
    <row r="265" spans="1:16" ht="13.5" customHeight="1" x14ac:dyDescent="0.3">
      <c r="A265" s="2" t="s">
        <v>596</v>
      </c>
      <c r="B265" s="3" t="s">
        <v>597</v>
      </c>
      <c r="C265" s="3" t="s">
        <v>70</v>
      </c>
      <c r="D265" s="3" t="s">
        <v>56</v>
      </c>
      <c r="E265" s="3" t="s">
        <v>50</v>
      </c>
      <c r="F265" s="2" t="s">
        <v>51</v>
      </c>
      <c r="G265" s="4">
        <v>45499</v>
      </c>
      <c r="H265" s="4">
        <v>45511</v>
      </c>
      <c r="I265" s="5">
        <v>444397</v>
      </c>
      <c r="J265" s="5">
        <v>444397</v>
      </c>
      <c r="K265" s="2" t="s">
        <v>67</v>
      </c>
      <c r="L265" s="3"/>
      <c r="M265" s="2" t="s">
        <v>59</v>
      </c>
      <c r="N265" s="2">
        <f t="shared" si="17"/>
        <v>12</v>
      </c>
      <c r="P265" t="str">
        <f t="shared" si="18"/>
        <v>Recorded</v>
      </c>
    </row>
    <row r="266" spans="1:16" ht="13.5" customHeight="1" x14ac:dyDescent="0.3">
      <c r="A266" s="2" t="s">
        <v>598</v>
      </c>
      <c r="B266" s="3" t="s">
        <v>599</v>
      </c>
      <c r="C266" s="3" t="s">
        <v>70</v>
      </c>
      <c r="D266" s="3" t="s">
        <v>62</v>
      </c>
      <c r="E266" s="3" t="s">
        <v>41</v>
      </c>
      <c r="F266" s="2" t="s">
        <v>42</v>
      </c>
      <c r="G266" s="4">
        <v>45457</v>
      </c>
      <c r="H266" s="4"/>
      <c r="I266" s="5">
        <v>508735</v>
      </c>
      <c r="J266" s="2"/>
      <c r="K266" s="2" t="s">
        <v>75</v>
      </c>
      <c r="L266" s="3"/>
      <c r="M266" s="2" t="s">
        <v>53</v>
      </c>
      <c r="N266" s="2" t="str">
        <f t="shared" si="17"/>
        <v>Pending</v>
      </c>
      <c r="P266" t="str">
        <f t="shared" si="18"/>
        <v>Recorded</v>
      </c>
    </row>
    <row r="267" spans="1:16" ht="13.5" customHeight="1" x14ac:dyDescent="0.3">
      <c r="A267" s="2" t="s">
        <v>600</v>
      </c>
      <c r="B267" s="3" t="s">
        <v>601</v>
      </c>
      <c r="C267" s="3" t="s">
        <v>39</v>
      </c>
      <c r="D267" s="3" t="s">
        <v>56</v>
      </c>
      <c r="E267" s="3" t="s">
        <v>74</v>
      </c>
      <c r="F267" s="2" t="s">
        <v>47</v>
      </c>
      <c r="G267" s="4">
        <v>45610</v>
      </c>
      <c r="H267" s="4">
        <v>45624</v>
      </c>
      <c r="I267" s="5">
        <v>405999</v>
      </c>
      <c r="J267" s="5">
        <v>0</v>
      </c>
      <c r="K267" s="2" t="s">
        <v>20</v>
      </c>
      <c r="L267" s="3" t="s">
        <v>106</v>
      </c>
      <c r="M267" s="2" t="s">
        <v>144</v>
      </c>
      <c r="N267" s="2">
        <f t="shared" si="17"/>
        <v>14</v>
      </c>
      <c r="P267" t="str">
        <f t="shared" si="18"/>
        <v>Recorded</v>
      </c>
    </row>
    <row r="268" spans="1:16" ht="13.5" customHeight="1" x14ac:dyDescent="0.3">
      <c r="A268" s="2" t="s">
        <v>602</v>
      </c>
      <c r="B268" s="3" t="s">
        <v>603</v>
      </c>
      <c r="C268" s="3" t="s">
        <v>70</v>
      </c>
      <c r="D268" s="3" t="s">
        <v>17</v>
      </c>
      <c r="E268" s="3" t="s">
        <v>74</v>
      </c>
      <c r="F268" s="2" t="s">
        <v>34</v>
      </c>
      <c r="G268" s="4">
        <v>45440</v>
      </c>
      <c r="H268" s="4">
        <v>45459</v>
      </c>
      <c r="I268" s="5">
        <v>131514</v>
      </c>
      <c r="J268" s="5">
        <v>131514</v>
      </c>
      <c r="K268" s="2" t="s">
        <v>67</v>
      </c>
      <c r="L268" s="3"/>
      <c r="M268" s="2" t="s">
        <v>63</v>
      </c>
      <c r="N268" s="2">
        <f t="shared" si="17"/>
        <v>19</v>
      </c>
      <c r="P268" t="str">
        <f t="shared" si="18"/>
        <v>Recorded</v>
      </c>
    </row>
    <row r="269" spans="1:16" ht="13.5" customHeight="1" x14ac:dyDescent="0.3">
      <c r="A269" s="2" t="s">
        <v>604</v>
      </c>
      <c r="B269" s="3" t="s">
        <v>605</v>
      </c>
      <c r="C269" s="3" t="s">
        <v>16</v>
      </c>
      <c r="D269" s="3" t="s">
        <v>26</v>
      </c>
      <c r="E269" s="3" t="s">
        <v>27</v>
      </c>
      <c r="F269" s="2" t="s">
        <v>28</v>
      </c>
      <c r="G269" s="4">
        <v>45509</v>
      </c>
      <c r="H269" s="4">
        <v>45526</v>
      </c>
      <c r="I269" s="5">
        <v>476492</v>
      </c>
      <c r="J269" s="5">
        <v>476492</v>
      </c>
      <c r="K269" s="2" t="s">
        <v>67</v>
      </c>
      <c r="L269" s="3"/>
      <c r="M269" s="2" t="s">
        <v>96</v>
      </c>
      <c r="N269" s="2">
        <f t="shared" si="17"/>
        <v>17</v>
      </c>
      <c r="P269" t="str">
        <f t="shared" si="18"/>
        <v>Recorded</v>
      </c>
    </row>
    <row r="270" spans="1:16" ht="13.5" customHeight="1" x14ac:dyDescent="0.3">
      <c r="A270" s="2" t="s">
        <v>606</v>
      </c>
      <c r="B270" s="3" t="s">
        <v>607</v>
      </c>
      <c r="C270" s="3" t="s">
        <v>39</v>
      </c>
      <c r="D270" s="3" t="s">
        <v>62</v>
      </c>
      <c r="E270" s="3" t="s">
        <v>41</v>
      </c>
      <c r="F270" s="2" t="s">
        <v>143</v>
      </c>
      <c r="G270" s="4">
        <v>45488</v>
      </c>
      <c r="H270" s="4">
        <v>45495</v>
      </c>
      <c r="I270" s="5">
        <v>267060</v>
      </c>
      <c r="J270" s="5">
        <v>267060</v>
      </c>
      <c r="K270" s="2" t="s">
        <v>67</v>
      </c>
      <c r="L270" s="3"/>
      <c r="M270" s="2" t="s">
        <v>117</v>
      </c>
      <c r="N270" s="2">
        <f t="shared" si="17"/>
        <v>7</v>
      </c>
      <c r="P270" t="str">
        <f t="shared" si="18"/>
        <v>Recorded</v>
      </c>
    </row>
    <row r="271" spans="1:16" ht="13.5" customHeight="1" x14ac:dyDescent="0.3">
      <c r="A271" s="2" t="s">
        <v>608</v>
      </c>
      <c r="B271" s="3" t="s">
        <v>609</v>
      </c>
      <c r="C271" s="3" t="s">
        <v>25</v>
      </c>
      <c r="D271" s="3" t="s">
        <v>17</v>
      </c>
      <c r="E271" s="3" t="s">
        <v>33</v>
      </c>
      <c r="F271" s="2" t="s">
        <v>47</v>
      </c>
      <c r="G271" s="4">
        <v>45318</v>
      </c>
      <c r="H271" s="4"/>
      <c r="I271" s="5">
        <v>362993</v>
      </c>
      <c r="J271" s="2"/>
      <c r="K271" s="2" t="s">
        <v>75</v>
      </c>
      <c r="L271" s="3"/>
      <c r="M271" s="2" t="s">
        <v>63</v>
      </c>
      <c r="N271" s="2" t="str">
        <f t="shared" si="17"/>
        <v>Pending</v>
      </c>
      <c r="P271" t="str">
        <f t="shared" si="18"/>
        <v>Recorded</v>
      </c>
    </row>
    <row r="272" spans="1:16" ht="13.5" customHeight="1" x14ac:dyDescent="0.3">
      <c r="A272" s="2" t="s">
        <v>610</v>
      </c>
      <c r="B272" s="3" t="s">
        <v>611</v>
      </c>
      <c r="C272" s="3" t="s">
        <v>25</v>
      </c>
      <c r="D272" s="3" t="s">
        <v>62</v>
      </c>
      <c r="E272" s="3" t="s">
        <v>18</v>
      </c>
      <c r="F272" s="2" t="s">
        <v>19</v>
      </c>
      <c r="G272" s="4">
        <v>45495</v>
      </c>
      <c r="H272" s="4">
        <v>45496</v>
      </c>
      <c r="I272" s="5">
        <v>755659</v>
      </c>
      <c r="J272" s="5">
        <v>755659</v>
      </c>
      <c r="K272" s="2" t="s">
        <v>67</v>
      </c>
      <c r="L272" s="3"/>
      <c r="M272" s="2" t="s">
        <v>144</v>
      </c>
      <c r="N272" s="2">
        <f t="shared" si="17"/>
        <v>1</v>
      </c>
      <c r="P272" t="str">
        <f t="shared" si="18"/>
        <v>Recorded</v>
      </c>
    </row>
    <row r="273" spans="1:16" ht="13.5" customHeight="1" x14ac:dyDescent="0.3">
      <c r="A273" s="2" t="s">
        <v>612</v>
      </c>
      <c r="B273" s="3" t="s">
        <v>613</v>
      </c>
      <c r="C273" s="3" t="s">
        <v>25</v>
      </c>
      <c r="D273" s="3" t="s">
        <v>26</v>
      </c>
      <c r="E273" s="3" t="s">
        <v>33</v>
      </c>
      <c r="F273" s="2" t="s">
        <v>47</v>
      </c>
      <c r="G273" s="4">
        <v>45491</v>
      </c>
      <c r="H273" s="4">
        <v>45506</v>
      </c>
      <c r="I273" s="5">
        <v>625796</v>
      </c>
      <c r="J273" s="5">
        <v>211644</v>
      </c>
      <c r="K273" s="2" t="s">
        <v>35</v>
      </c>
      <c r="L273" s="3"/>
      <c r="M273" s="2" t="s">
        <v>63</v>
      </c>
      <c r="N273" s="2">
        <f t="shared" si="17"/>
        <v>15</v>
      </c>
      <c r="P273" t="str">
        <f t="shared" si="18"/>
        <v>Recorded</v>
      </c>
    </row>
    <row r="274" spans="1:16" ht="13.5" customHeight="1" x14ac:dyDescent="0.3">
      <c r="A274" s="2" t="s">
        <v>614</v>
      </c>
      <c r="B274" s="3" t="s">
        <v>615</v>
      </c>
      <c r="C274" s="3" t="s">
        <v>70</v>
      </c>
      <c r="D274" s="3" t="s">
        <v>56</v>
      </c>
      <c r="E274" s="3" t="s">
        <v>41</v>
      </c>
      <c r="F274" s="2" t="s">
        <v>143</v>
      </c>
      <c r="G274" s="4">
        <v>45508</v>
      </c>
      <c r="H274" s="4">
        <v>45519</v>
      </c>
      <c r="I274" s="5">
        <v>34396</v>
      </c>
      <c r="J274" s="5">
        <v>16715</v>
      </c>
      <c r="K274" s="2" t="s">
        <v>35</v>
      </c>
      <c r="L274" s="3"/>
      <c r="M274" s="2" t="s">
        <v>93</v>
      </c>
      <c r="N274" s="2">
        <f t="shared" si="17"/>
        <v>11</v>
      </c>
      <c r="P274" t="str">
        <f t="shared" si="18"/>
        <v>Recorded</v>
      </c>
    </row>
    <row r="275" spans="1:16" ht="13.5" customHeight="1" x14ac:dyDescent="0.3">
      <c r="A275" s="2" t="s">
        <v>616</v>
      </c>
      <c r="B275" s="3" t="s">
        <v>617</v>
      </c>
      <c r="C275" s="3" t="s">
        <v>70</v>
      </c>
      <c r="D275" s="3" t="s">
        <v>62</v>
      </c>
      <c r="E275" s="3" t="s">
        <v>41</v>
      </c>
      <c r="F275" s="2" t="s">
        <v>42</v>
      </c>
      <c r="G275" s="4">
        <v>45374</v>
      </c>
      <c r="H275" s="4">
        <v>45378</v>
      </c>
      <c r="I275" s="5">
        <v>934390</v>
      </c>
      <c r="J275" s="5">
        <v>329475</v>
      </c>
      <c r="K275" s="2" t="s">
        <v>35</v>
      </c>
      <c r="L275" s="3"/>
      <c r="M275" s="2" t="s">
        <v>59</v>
      </c>
      <c r="N275" s="2">
        <f t="shared" si="17"/>
        <v>4</v>
      </c>
      <c r="P275" t="str">
        <f t="shared" si="18"/>
        <v>Recorded</v>
      </c>
    </row>
    <row r="276" spans="1:16" ht="13.5" customHeight="1" x14ac:dyDescent="0.3">
      <c r="A276" s="2" t="s">
        <v>618</v>
      </c>
      <c r="B276" s="3" t="s">
        <v>619</v>
      </c>
      <c r="C276" s="3" t="s">
        <v>39</v>
      </c>
      <c r="D276" s="3" t="s">
        <v>26</v>
      </c>
      <c r="E276" s="3" t="s">
        <v>41</v>
      </c>
      <c r="F276" s="2" t="s">
        <v>143</v>
      </c>
      <c r="G276" s="4">
        <v>45430</v>
      </c>
      <c r="H276" s="4">
        <v>45432</v>
      </c>
      <c r="I276" s="2"/>
      <c r="J276" s="5">
        <v>270614</v>
      </c>
      <c r="K276" s="2" t="s">
        <v>67</v>
      </c>
      <c r="L276" s="3"/>
      <c r="M276" s="2" t="s">
        <v>44</v>
      </c>
      <c r="N276" s="2">
        <f t="shared" si="17"/>
        <v>2</v>
      </c>
      <c r="P276" t="str">
        <f t="shared" si="18"/>
        <v>Missing</v>
      </c>
    </row>
    <row r="277" spans="1:16" ht="13.5" customHeight="1" x14ac:dyDescent="0.3">
      <c r="A277" s="2" t="s">
        <v>620</v>
      </c>
      <c r="B277" s="3" t="s">
        <v>621</v>
      </c>
      <c r="C277" s="3" t="s">
        <v>70</v>
      </c>
      <c r="D277" s="3" t="s">
        <v>62</v>
      </c>
      <c r="E277" s="3" t="s">
        <v>18</v>
      </c>
      <c r="F277" s="2" t="s">
        <v>19</v>
      </c>
      <c r="G277" s="4">
        <v>45429</v>
      </c>
      <c r="H277" s="4">
        <v>45431</v>
      </c>
      <c r="I277" s="5">
        <v>863623</v>
      </c>
      <c r="J277" s="5">
        <v>863623</v>
      </c>
      <c r="K277" s="2" t="s">
        <v>67</v>
      </c>
      <c r="L277" s="3"/>
      <c r="M277" s="2" t="s">
        <v>22</v>
      </c>
      <c r="N277" s="2">
        <f t="shared" si="17"/>
        <v>2</v>
      </c>
      <c r="P277" t="str">
        <f t="shared" si="18"/>
        <v>Recorded</v>
      </c>
    </row>
    <row r="278" spans="1:16" ht="13.5" customHeight="1" x14ac:dyDescent="0.3">
      <c r="A278" s="2" t="s">
        <v>622</v>
      </c>
      <c r="B278" s="3" t="s">
        <v>623</v>
      </c>
      <c r="C278" s="3" t="s">
        <v>39</v>
      </c>
      <c r="D278" s="3" t="s">
        <v>56</v>
      </c>
      <c r="E278" s="3" t="s">
        <v>50</v>
      </c>
      <c r="F278" s="2" t="s">
        <v>81</v>
      </c>
      <c r="G278" s="4">
        <v>45366</v>
      </c>
      <c r="H278" s="4">
        <v>45380</v>
      </c>
      <c r="I278" s="5">
        <v>879051</v>
      </c>
      <c r="J278" s="5">
        <v>879051</v>
      </c>
      <c r="K278" s="2" t="s">
        <v>67</v>
      </c>
      <c r="L278" s="3"/>
      <c r="M278" s="2" t="s">
        <v>144</v>
      </c>
      <c r="N278" s="2">
        <f t="shared" si="17"/>
        <v>14</v>
      </c>
      <c r="P278" t="str">
        <f t="shared" si="18"/>
        <v>Recorded</v>
      </c>
    </row>
    <row r="279" spans="1:16" ht="13.5" customHeight="1" x14ac:dyDescent="0.3">
      <c r="A279" s="2" t="s">
        <v>624</v>
      </c>
      <c r="B279" s="3" t="s">
        <v>625</v>
      </c>
      <c r="C279" s="3" t="s">
        <v>25</v>
      </c>
      <c r="D279" s="3" t="s">
        <v>40</v>
      </c>
      <c r="E279" s="3" t="s">
        <v>74</v>
      </c>
      <c r="F279" s="2" t="s">
        <v>34</v>
      </c>
      <c r="G279" s="4">
        <v>45387</v>
      </c>
      <c r="H279" s="4"/>
      <c r="I279" s="5">
        <v>371272</v>
      </c>
      <c r="J279" s="2"/>
      <c r="K279" s="2" t="s">
        <v>75</v>
      </c>
      <c r="L279" s="3"/>
      <c r="M279" s="2" t="s">
        <v>36</v>
      </c>
      <c r="N279" s="2" t="str">
        <f t="shared" si="17"/>
        <v>Pending</v>
      </c>
      <c r="P279" t="str">
        <f t="shared" si="18"/>
        <v>Recorded</v>
      </c>
    </row>
    <row r="280" spans="1:16" ht="13.5" customHeight="1" x14ac:dyDescent="0.3">
      <c r="A280" s="2" t="s">
        <v>626</v>
      </c>
      <c r="B280" s="3" t="s">
        <v>627</v>
      </c>
      <c r="C280" s="3" t="s">
        <v>25</v>
      </c>
      <c r="D280" s="3" t="s">
        <v>26</v>
      </c>
      <c r="E280" s="3" t="s">
        <v>50</v>
      </c>
      <c r="F280" s="2" t="s">
        <v>81</v>
      </c>
      <c r="G280" s="4">
        <v>45535</v>
      </c>
      <c r="H280" s="4">
        <v>45536</v>
      </c>
      <c r="I280" s="5">
        <v>267059</v>
      </c>
      <c r="J280" s="5">
        <v>267059</v>
      </c>
      <c r="K280" s="2" t="s">
        <v>67</v>
      </c>
      <c r="L280" s="3"/>
      <c r="M280" s="2" t="s">
        <v>44</v>
      </c>
      <c r="N280" s="2">
        <f t="shared" si="17"/>
        <v>1</v>
      </c>
      <c r="P280" t="str">
        <f t="shared" si="18"/>
        <v>Recorded</v>
      </c>
    </row>
    <row r="281" spans="1:16" ht="13.5" customHeight="1" x14ac:dyDescent="0.3">
      <c r="A281" s="2" t="s">
        <v>628</v>
      </c>
      <c r="B281" s="3" t="s">
        <v>629</v>
      </c>
      <c r="C281" s="3" t="s">
        <v>70</v>
      </c>
      <c r="D281" s="3" t="s">
        <v>62</v>
      </c>
      <c r="E281" s="3" t="s">
        <v>27</v>
      </c>
      <c r="F281" s="2" t="s">
        <v>28</v>
      </c>
      <c r="G281" s="4">
        <v>45514</v>
      </c>
      <c r="H281" s="4">
        <v>45522</v>
      </c>
      <c r="I281" s="2"/>
      <c r="J281" s="5">
        <v>151363</v>
      </c>
      <c r="K281" s="2" t="s">
        <v>35</v>
      </c>
      <c r="L281" s="3"/>
      <c r="M281" s="2" t="s">
        <v>36</v>
      </c>
      <c r="N281" s="2">
        <f t="shared" si="17"/>
        <v>8</v>
      </c>
      <c r="P281" t="str">
        <f t="shared" si="18"/>
        <v>Missing</v>
      </c>
    </row>
    <row r="282" spans="1:16" ht="13.5" customHeight="1" x14ac:dyDescent="0.3">
      <c r="A282" s="2" t="s">
        <v>630</v>
      </c>
      <c r="B282" s="3" t="s">
        <v>631</v>
      </c>
      <c r="C282" s="3" t="s">
        <v>25</v>
      </c>
      <c r="D282" s="3" t="s">
        <v>56</v>
      </c>
      <c r="E282" s="3" t="s">
        <v>50</v>
      </c>
      <c r="F282" s="2" t="s">
        <v>81</v>
      </c>
      <c r="G282" s="4">
        <v>45305</v>
      </c>
      <c r="H282" s="4">
        <v>45310</v>
      </c>
      <c r="I282" s="5">
        <v>651955</v>
      </c>
      <c r="J282" s="5">
        <v>434229</v>
      </c>
      <c r="K282" s="2" t="s">
        <v>35</v>
      </c>
      <c r="L282" s="3"/>
      <c r="M282" s="2" t="s">
        <v>93</v>
      </c>
      <c r="N282" s="2">
        <f t="shared" si="17"/>
        <v>5</v>
      </c>
      <c r="P282" t="str">
        <f t="shared" si="18"/>
        <v>Recorded</v>
      </c>
    </row>
    <row r="283" spans="1:16" ht="13.5" customHeight="1" x14ac:dyDescent="0.3">
      <c r="A283" s="2" t="s">
        <v>632</v>
      </c>
      <c r="B283" s="3" t="s">
        <v>633</v>
      </c>
      <c r="C283" s="3" t="s">
        <v>25</v>
      </c>
      <c r="D283" s="3" t="s">
        <v>26</v>
      </c>
      <c r="E283" s="3" t="s">
        <v>50</v>
      </c>
      <c r="F283" s="2" t="s">
        <v>51</v>
      </c>
      <c r="G283" s="4">
        <v>45306</v>
      </c>
      <c r="H283" s="4">
        <v>45309</v>
      </c>
      <c r="I283" s="2"/>
      <c r="J283" s="5">
        <v>0</v>
      </c>
      <c r="K283" s="2" t="s">
        <v>20</v>
      </c>
      <c r="L283" s="3" t="s">
        <v>114</v>
      </c>
      <c r="M283" s="2" t="s">
        <v>44</v>
      </c>
      <c r="N283" s="2">
        <f t="shared" si="17"/>
        <v>3</v>
      </c>
      <c r="P283" t="str">
        <f t="shared" si="18"/>
        <v>Missing</v>
      </c>
    </row>
    <row r="284" spans="1:16" ht="13.5" customHeight="1" x14ac:dyDescent="0.3">
      <c r="A284" s="2" t="s">
        <v>634</v>
      </c>
      <c r="B284" s="3" t="s">
        <v>635</v>
      </c>
      <c r="C284" s="3" t="s">
        <v>70</v>
      </c>
      <c r="D284" s="3" t="s">
        <v>62</v>
      </c>
      <c r="E284" s="3" t="s">
        <v>50</v>
      </c>
      <c r="F284" s="2" t="s">
        <v>51</v>
      </c>
      <c r="G284" s="4">
        <v>45365</v>
      </c>
      <c r="H284" s="4">
        <v>45370</v>
      </c>
      <c r="I284" s="2"/>
      <c r="J284" s="5">
        <v>0</v>
      </c>
      <c r="K284" s="2" t="s">
        <v>20</v>
      </c>
      <c r="L284" s="3" t="s">
        <v>21</v>
      </c>
      <c r="M284" s="2" t="s">
        <v>30</v>
      </c>
      <c r="N284" s="2">
        <f t="shared" si="17"/>
        <v>5</v>
      </c>
      <c r="P284" t="str">
        <f t="shared" si="18"/>
        <v>Missing</v>
      </c>
    </row>
    <row r="285" spans="1:16" ht="13.5" customHeight="1" x14ac:dyDescent="0.3">
      <c r="A285" s="2" t="s">
        <v>636</v>
      </c>
      <c r="B285" s="3" t="s">
        <v>637</v>
      </c>
      <c r="C285" s="3" t="s">
        <v>39</v>
      </c>
      <c r="D285" s="3" t="s">
        <v>40</v>
      </c>
      <c r="E285" s="3" t="s">
        <v>27</v>
      </c>
      <c r="F285" s="2" t="s">
        <v>120</v>
      </c>
      <c r="G285" s="4">
        <v>45606</v>
      </c>
      <c r="H285" s="4"/>
      <c r="I285" s="5">
        <v>877466</v>
      </c>
      <c r="J285" s="2"/>
      <c r="K285" s="2" t="s">
        <v>75</v>
      </c>
      <c r="L285" s="3"/>
      <c r="M285" s="2" t="s">
        <v>132</v>
      </c>
      <c r="N285" s="2" t="str">
        <f t="shared" si="17"/>
        <v>Pending</v>
      </c>
      <c r="P285" t="str">
        <f t="shared" si="18"/>
        <v>Recorded</v>
      </c>
    </row>
    <row r="286" spans="1:16" ht="13.5" customHeight="1" x14ac:dyDescent="0.3">
      <c r="A286" s="2" t="s">
        <v>638</v>
      </c>
      <c r="B286" s="3" t="s">
        <v>639</v>
      </c>
      <c r="C286" s="3" t="s">
        <v>16</v>
      </c>
      <c r="D286" s="3" t="s">
        <v>62</v>
      </c>
      <c r="E286" s="3" t="s">
        <v>27</v>
      </c>
      <c r="F286" s="2" t="s">
        <v>28</v>
      </c>
      <c r="G286" s="4">
        <v>45292</v>
      </c>
      <c r="H286" s="4"/>
      <c r="I286" s="5">
        <v>251874</v>
      </c>
      <c r="J286" s="2"/>
      <c r="K286" s="2" t="s">
        <v>75</v>
      </c>
      <c r="L286" s="3"/>
      <c r="M286" s="2" t="s">
        <v>96</v>
      </c>
      <c r="N286" s="2" t="str">
        <f t="shared" si="17"/>
        <v>Pending</v>
      </c>
      <c r="P286" t="str">
        <f t="shared" si="18"/>
        <v>Recorded</v>
      </c>
    </row>
    <row r="287" spans="1:16" ht="13.5" customHeight="1" x14ac:dyDescent="0.3">
      <c r="A287" s="2" t="s">
        <v>640</v>
      </c>
      <c r="B287" s="3" t="s">
        <v>641</v>
      </c>
      <c r="C287" s="3" t="s">
        <v>70</v>
      </c>
      <c r="D287" s="3" t="s">
        <v>17</v>
      </c>
      <c r="E287" s="3" t="s">
        <v>33</v>
      </c>
      <c r="F287" s="2" t="s">
        <v>47</v>
      </c>
      <c r="G287" s="4">
        <v>45390</v>
      </c>
      <c r="H287" s="4">
        <v>45392</v>
      </c>
      <c r="I287" s="5">
        <v>28497</v>
      </c>
      <c r="J287" s="5">
        <v>28497</v>
      </c>
      <c r="K287" s="2" t="s">
        <v>67</v>
      </c>
      <c r="L287" s="3"/>
      <c r="M287" s="2" t="s">
        <v>78</v>
      </c>
      <c r="N287" s="2">
        <f t="shared" si="17"/>
        <v>2</v>
      </c>
      <c r="P287" t="str">
        <f t="shared" si="18"/>
        <v>Recorded</v>
      </c>
    </row>
    <row r="288" spans="1:16" ht="13.5" customHeight="1" x14ac:dyDescent="0.3">
      <c r="A288" s="2" t="s">
        <v>642</v>
      </c>
      <c r="B288" s="3" t="s">
        <v>643</v>
      </c>
      <c r="C288" s="3" t="s">
        <v>39</v>
      </c>
      <c r="D288" s="3" t="s">
        <v>62</v>
      </c>
      <c r="E288" s="3" t="s">
        <v>74</v>
      </c>
      <c r="F288" s="2" t="s">
        <v>47</v>
      </c>
      <c r="G288" s="4">
        <v>45550</v>
      </c>
      <c r="H288" s="4">
        <v>45560</v>
      </c>
      <c r="I288" s="5">
        <v>218149</v>
      </c>
      <c r="J288" s="5">
        <v>218149</v>
      </c>
      <c r="K288" s="2" t="s">
        <v>67</v>
      </c>
      <c r="L288" s="3"/>
      <c r="M288" s="2" t="s">
        <v>36</v>
      </c>
      <c r="N288" s="2">
        <f t="shared" si="17"/>
        <v>10</v>
      </c>
      <c r="P288" t="str">
        <f t="shared" si="18"/>
        <v>Recorded</v>
      </c>
    </row>
    <row r="289" spans="1:16" ht="13.5" customHeight="1" x14ac:dyDescent="0.3">
      <c r="A289" s="2" t="s">
        <v>644</v>
      </c>
      <c r="B289" s="3" t="s">
        <v>645</v>
      </c>
      <c r="C289" s="3" t="s">
        <v>16</v>
      </c>
      <c r="D289" s="3" t="s">
        <v>26</v>
      </c>
      <c r="E289" s="3" t="s">
        <v>27</v>
      </c>
      <c r="F289" s="2" t="s">
        <v>28</v>
      </c>
      <c r="G289" s="4">
        <v>45476</v>
      </c>
      <c r="H289" s="4">
        <v>45484</v>
      </c>
      <c r="I289" s="5">
        <v>471765</v>
      </c>
      <c r="J289" s="5">
        <v>471765</v>
      </c>
      <c r="K289" s="2" t="s">
        <v>67</v>
      </c>
      <c r="L289" s="3"/>
      <c r="M289" s="2" t="s">
        <v>44</v>
      </c>
      <c r="N289" s="2">
        <f t="shared" si="17"/>
        <v>8</v>
      </c>
      <c r="P289" t="str">
        <f t="shared" si="18"/>
        <v>Recorded</v>
      </c>
    </row>
    <row r="290" spans="1:16" ht="13.5" customHeight="1" x14ac:dyDescent="0.3">
      <c r="A290" s="2" t="s">
        <v>646</v>
      </c>
      <c r="B290" s="3" t="s">
        <v>647</v>
      </c>
      <c r="C290" s="3" t="s">
        <v>39</v>
      </c>
      <c r="D290" s="3" t="s">
        <v>40</v>
      </c>
      <c r="E290" s="3" t="s">
        <v>33</v>
      </c>
      <c r="F290" s="2" t="s">
        <v>163</v>
      </c>
      <c r="G290" s="4">
        <v>45430</v>
      </c>
      <c r="H290" s="4">
        <v>45445</v>
      </c>
      <c r="I290" s="5">
        <v>589934</v>
      </c>
      <c r="J290" s="5">
        <v>589934</v>
      </c>
      <c r="K290" s="2" t="s">
        <v>67</v>
      </c>
      <c r="L290" s="3"/>
      <c r="M290" s="2" t="s">
        <v>88</v>
      </c>
      <c r="N290" s="2">
        <f t="shared" si="17"/>
        <v>15</v>
      </c>
      <c r="P290" t="str">
        <f t="shared" si="18"/>
        <v>Recorded</v>
      </c>
    </row>
    <row r="291" spans="1:16" ht="13.5" customHeight="1" x14ac:dyDescent="0.3">
      <c r="A291" s="2" t="s">
        <v>648</v>
      </c>
      <c r="B291" s="3" t="s">
        <v>649</v>
      </c>
      <c r="C291" s="3" t="s">
        <v>25</v>
      </c>
      <c r="D291" s="3" t="s">
        <v>17</v>
      </c>
      <c r="E291" s="3" t="s">
        <v>18</v>
      </c>
      <c r="F291" s="2" t="s">
        <v>105</v>
      </c>
      <c r="G291" s="4">
        <v>45474</v>
      </c>
      <c r="H291" s="4"/>
      <c r="I291" s="5">
        <v>566463</v>
      </c>
      <c r="J291" s="2"/>
      <c r="K291" s="2" t="s">
        <v>75</v>
      </c>
      <c r="L291" s="3"/>
      <c r="M291" s="2" t="s">
        <v>117</v>
      </c>
      <c r="N291" s="2" t="str">
        <f t="shared" si="17"/>
        <v>Pending</v>
      </c>
      <c r="P291" t="str">
        <f t="shared" si="18"/>
        <v>Recorded</v>
      </c>
    </row>
    <row r="292" spans="1:16" ht="13.5" customHeight="1" x14ac:dyDescent="0.3">
      <c r="A292" s="2" t="s">
        <v>650</v>
      </c>
      <c r="B292" s="3" t="s">
        <v>651</v>
      </c>
      <c r="C292" s="3" t="s">
        <v>16</v>
      </c>
      <c r="D292" s="3" t="s">
        <v>40</v>
      </c>
      <c r="E292" s="3" t="s">
        <v>18</v>
      </c>
      <c r="F292" s="2" t="s">
        <v>19</v>
      </c>
      <c r="G292" s="4">
        <v>45390</v>
      </c>
      <c r="H292" s="4">
        <v>45406</v>
      </c>
      <c r="I292" s="2"/>
      <c r="J292" s="5">
        <v>948565</v>
      </c>
      <c r="K292" s="2" t="s">
        <v>67</v>
      </c>
      <c r="L292" s="3"/>
      <c r="M292" s="2" t="s">
        <v>78</v>
      </c>
      <c r="N292" s="2">
        <f t="shared" si="17"/>
        <v>16</v>
      </c>
      <c r="P292" t="str">
        <f t="shared" si="18"/>
        <v>Missing</v>
      </c>
    </row>
    <row r="293" spans="1:16" ht="13.5" customHeight="1" x14ac:dyDescent="0.3">
      <c r="A293" s="2" t="s">
        <v>652</v>
      </c>
      <c r="B293" s="3" t="s">
        <v>653</v>
      </c>
      <c r="C293" s="3" t="s">
        <v>16</v>
      </c>
      <c r="D293" s="3" t="s">
        <v>40</v>
      </c>
      <c r="E293" s="3" t="s">
        <v>27</v>
      </c>
      <c r="F293" s="2" t="s">
        <v>28</v>
      </c>
      <c r="G293" s="4">
        <v>45407</v>
      </c>
      <c r="H293" s="4">
        <v>45422</v>
      </c>
      <c r="I293" s="5">
        <v>822302</v>
      </c>
      <c r="J293" s="5">
        <v>822302</v>
      </c>
      <c r="K293" s="2" t="s">
        <v>67</v>
      </c>
      <c r="L293" s="3"/>
      <c r="M293" s="2" t="s">
        <v>88</v>
      </c>
      <c r="N293" s="2">
        <f t="shared" si="17"/>
        <v>15</v>
      </c>
      <c r="P293" t="str">
        <f t="shared" si="18"/>
        <v>Recorded</v>
      </c>
    </row>
    <row r="294" spans="1:16" ht="13.5" customHeight="1" x14ac:dyDescent="0.3">
      <c r="A294" s="2" t="s">
        <v>654</v>
      </c>
      <c r="B294" s="3" t="s">
        <v>655</v>
      </c>
      <c r="C294" s="3" t="s">
        <v>16</v>
      </c>
      <c r="D294" s="3" t="s">
        <v>62</v>
      </c>
      <c r="E294" s="3" t="s">
        <v>18</v>
      </c>
      <c r="F294" s="2" t="s">
        <v>19</v>
      </c>
      <c r="G294" s="4">
        <v>45331</v>
      </c>
      <c r="H294" s="4"/>
      <c r="I294" s="5">
        <v>479283</v>
      </c>
      <c r="J294" s="2"/>
      <c r="K294" s="2" t="s">
        <v>75</v>
      </c>
      <c r="L294" s="3"/>
      <c r="M294" s="2" t="s">
        <v>78</v>
      </c>
      <c r="N294" s="2" t="str">
        <f t="shared" si="17"/>
        <v>Pending</v>
      </c>
      <c r="P294" t="str">
        <f t="shared" si="18"/>
        <v>Recorded</v>
      </c>
    </row>
    <row r="295" spans="1:16" ht="13.5" customHeight="1" x14ac:dyDescent="0.3">
      <c r="A295" s="2" t="s">
        <v>656</v>
      </c>
      <c r="B295" s="3" t="s">
        <v>657</v>
      </c>
      <c r="C295" s="3" t="s">
        <v>39</v>
      </c>
      <c r="D295" s="3" t="s">
        <v>56</v>
      </c>
      <c r="E295" s="3" t="s">
        <v>74</v>
      </c>
      <c r="F295" s="2" t="s">
        <v>34</v>
      </c>
      <c r="G295" s="4">
        <v>45294</v>
      </c>
      <c r="H295" s="4">
        <v>45298</v>
      </c>
      <c r="I295" s="5">
        <v>622292</v>
      </c>
      <c r="J295" s="5">
        <v>622292</v>
      </c>
      <c r="K295" s="2" t="s">
        <v>67</v>
      </c>
      <c r="L295" s="3"/>
      <c r="M295" s="2" t="s">
        <v>132</v>
      </c>
      <c r="N295" s="2">
        <f t="shared" si="17"/>
        <v>4</v>
      </c>
      <c r="P295" t="str">
        <f t="shared" si="18"/>
        <v>Recorded</v>
      </c>
    </row>
    <row r="296" spans="1:16" ht="13.5" customHeight="1" x14ac:dyDescent="0.3">
      <c r="A296" s="2" t="s">
        <v>658</v>
      </c>
      <c r="B296" s="3" t="s">
        <v>659</v>
      </c>
      <c r="C296" s="3" t="s">
        <v>25</v>
      </c>
      <c r="D296" s="3" t="s">
        <v>40</v>
      </c>
      <c r="E296" s="3" t="s">
        <v>57</v>
      </c>
      <c r="F296" s="2" t="s">
        <v>113</v>
      </c>
      <c r="G296" s="4">
        <v>45334</v>
      </c>
      <c r="H296" s="4">
        <v>45346</v>
      </c>
      <c r="I296" s="5">
        <v>592455</v>
      </c>
      <c r="J296" s="5">
        <v>592455</v>
      </c>
      <c r="K296" s="2" t="s">
        <v>67</v>
      </c>
      <c r="L296" s="3"/>
      <c r="M296" s="2" t="s">
        <v>121</v>
      </c>
      <c r="N296" s="2">
        <f t="shared" si="17"/>
        <v>12</v>
      </c>
      <c r="P296" t="str">
        <f t="shared" si="18"/>
        <v>Recorded</v>
      </c>
    </row>
    <row r="297" spans="1:16" ht="13.5" customHeight="1" x14ac:dyDescent="0.3">
      <c r="A297" s="2" t="s">
        <v>660</v>
      </c>
      <c r="B297" s="3" t="s">
        <v>661</v>
      </c>
      <c r="C297" s="3" t="s">
        <v>70</v>
      </c>
      <c r="D297" s="3" t="s">
        <v>40</v>
      </c>
      <c r="E297" s="3" t="s">
        <v>50</v>
      </c>
      <c r="F297" s="2" t="s">
        <v>81</v>
      </c>
      <c r="G297" s="4">
        <v>45442</v>
      </c>
      <c r="H297" s="4">
        <v>45454</v>
      </c>
      <c r="I297" s="5">
        <v>288668</v>
      </c>
      <c r="J297" s="5">
        <v>288668</v>
      </c>
      <c r="K297" s="2" t="s">
        <v>67</v>
      </c>
      <c r="L297" s="3"/>
      <c r="M297" s="2" t="s">
        <v>144</v>
      </c>
      <c r="N297" s="2">
        <f t="shared" si="17"/>
        <v>12</v>
      </c>
      <c r="P297" t="str">
        <f t="shared" si="18"/>
        <v>Recorded</v>
      </c>
    </row>
    <row r="298" spans="1:16" ht="13.5" customHeight="1" x14ac:dyDescent="0.3">
      <c r="A298" s="2" t="s">
        <v>662</v>
      </c>
      <c r="B298" s="3" t="s">
        <v>663</v>
      </c>
      <c r="C298" s="3" t="s">
        <v>16</v>
      </c>
      <c r="D298" s="3" t="s">
        <v>40</v>
      </c>
      <c r="E298" s="3" t="s">
        <v>41</v>
      </c>
      <c r="F298" s="2" t="s">
        <v>143</v>
      </c>
      <c r="G298" s="4">
        <v>45514</v>
      </c>
      <c r="H298" s="4"/>
      <c r="I298" s="5">
        <v>356669</v>
      </c>
      <c r="J298" s="2"/>
      <c r="K298" s="2" t="s">
        <v>75</v>
      </c>
      <c r="L298" s="3"/>
      <c r="M298" s="2" t="s">
        <v>44</v>
      </c>
      <c r="N298" s="2" t="str">
        <f t="shared" si="17"/>
        <v>Pending</v>
      </c>
      <c r="P298" t="str">
        <f t="shared" si="18"/>
        <v>Recorded</v>
      </c>
    </row>
    <row r="299" spans="1:16" ht="13.5" customHeight="1" x14ac:dyDescent="0.3">
      <c r="A299" s="2" t="s">
        <v>664</v>
      </c>
      <c r="B299" s="3" t="s">
        <v>665</v>
      </c>
      <c r="C299" s="3" t="s">
        <v>70</v>
      </c>
      <c r="D299" s="3" t="s">
        <v>40</v>
      </c>
      <c r="E299" s="3" t="s">
        <v>41</v>
      </c>
      <c r="F299" s="2" t="s">
        <v>42</v>
      </c>
      <c r="G299" s="4">
        <v>45634</v>
      </c>
      <c r="H299" s="4">
        <v>45654</v>
      </c>
      <c r="I299" s="5">
        <v>220328</v>
      </c>
      <c r="J299" s="5">
        <v>220328</v>
      </c>
      <c r="K299" s="2" t="s">
        <v>67</v>
      </c>
      <c r="L299" s="3"/>
      <c r="M299" s="2" t="s">
        <v>144</v>
      </c>
      <c r="N299" s="2">
        <f t="shared" si="17"/>
        <v>20</v>
      </c>
      <c r="P299" t="str">
        <f t="shared" si="18"/>
        <v>Recorded</v>
      </c>
    </row>
    <row r="300" spans="1:16" ht="13.5" customHeight="1" x14ac:dyDescent="0.3">
      <c r="A300" s="2" t="s">
        <v>666</v>
      </c>
      <c r="B300" s="3" t="s">
        <v>667</v>
      </c>
      <c r="C300" s="3" t="s">
        <v>70</v>
      </c>
      <c r="D300" s="3" t="s">
        <v>40</v>
      </c>
      <c r="E300" s="3" t="s">
        <v>27</v>
      </c>
      <c r="F300" s="2" t="s">
        <v>120</v>
      </c>
      <c r="G300" s="4">
        <v>45438</v>
      </c>
      <c r="H300" s="4">
        <v>45452</v>
      </c>
      <c r="I300" s="5">
        <v>389975</v>
      </c>
      <c r="J300" s="5">
        <v>389975</v>
      </c>
      <c r="K300" s="2" t="s">
        <v>67</v>
      </c>
      <c r="L300" s="3"/>
      <c r="M300" s="2" t="s">
        <v>36</v>
      </c>
      <c r="N300" s="2">
        <f t="shared" si="17"/>
        <v>14</v>
      </c>
      <c r="P300" t="str">
        <f t="shared" si="18"/>
        <v>Recorded</v>
      </c>
    </row>
    <row r="301" spans="1:16" ht="13.5" customHeight="1" x14ac:dyDescent="0.3">
      <c r="A301" s="2" t="s">
        <v>668</v>
      </c>
      <c r="B301" s="3" t="s">
        <v>669</v>
      </c>
      <c r="C301" s="3" t="s">
        <v>16</v>
      </c>
      <c r="D301" s="3" t="s">
        <v>62</v>
      </c>
      <c r="E301" s="3" t="s">
        <v>18</v>
      </c>
      <c r="F301" s="2" t="s">
        <v>105</v>
      </c>
      <c r="G301" s="4">
        <v>45414</v>
      </c>
      <c r="H301" s="4">
        <v>45423</v>
      </c>
      <c r="I301" s="5">
        <v>523277</v>
      </c>
      <c r="J301" s="5">
        <v>523277</v>
      </c>
      <c r="K301" s="2" t="s">
        <v>67</v>
      </c>
      <c r="L301" s="3"/>
      <c r="M301" s="2" t="s">
        <v>36</v>
      </c>
      <c r="N301" s="2">
        <f t="shared" si="17"/>
        <v>9</v>
      </c>
      <c r="P301" t="str">
        <f t="shared" si="18"/>
        <v>Recorded</v>
      </c>
    </row>
  </sheetData>
  <conditionalFormatting sqref="N2:N301">
    <cfRule type="containsText" dxfId="1" priority="1" stopIfTrue="1" operator="containsText" text="Pending">
      <formula>NOT(ISERROR(SEARCH("Pending",N2)))</formula>
    </cfRule>
    <cfRule type="cellIs" dxfId="0" priority="2" stopIfTrue="1" operator="greaterThan">
      <formula>20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zoomScaleNormal="100" workbookViewId="0">
      <selection activeCell="A2" sqref="A2:B2"/>
    </sheetView>
  </sheetViews>
  <sheetFormatPr defaultColWidth="8.6640625" defaultRowHeight="14.4" x14ac:dyDescent="0.3"/>
  <cols>
    <col min="1" max="1" width="4" customWidth="1"/>
    <col min="2" max="2" width="95" customWidth="1"/>
  </cols>
  <sheetData>
    <row r="1" spans="1:2" ht="31.5" customHeight="1" x14ac:dyDescent="0.3">
      <c r="A1" s="13" t="s">
        <v>671</v>
      </c>
      <c r="B1" s="13"/>
    </row>
    <row r="2" spans="1:2" ht="30" customHeight="1" x14ac:dyDescent="0.3">
      <c r="A2" s="14" t="s">
        <v>672</v>
      </c>
      <c r="B2" s="14"/>
    </row>
    <row r="4" spans="1:2" ht="19.5" customHeight="1" x14ac:dyDescent="0.3">
      <c r="B4" s="6" t="s">
        <v>673</v>
      </c>
    </row>
    <row r="5" spans="1:2" ht="19.5" customHeight="1" x14ac:dyDescent="0.3">
      <c r="B5" s="7" t="s">
        <v>674</v>
      </c>
    </row>
    <row r="6" spans="1:2" ht="19.5" customHeight="1" x14ac:dyDescent="0.3">
      <c r="B6" s="7" t="s">
        <v>675</v>
      </c>
    </row>
    <row r="7" spans="1:2" ht="19.5" customHeight="1" x14ac:dyDescent="0.3">
      <c r="B7" s="7" t="s">
        <v>676</v>
      </c>
    </row>
    <row r="8" spans="1:2" ht="19.5" customHeight="1" x14ac:dyDescent="0.3">
      <c r="B8" s="7" t="s">
        <v>677</v>
      </c>
    </row>
    <row r="9" spans="1:2" ht="7.5" customHeight="1" x14ac:dyDescent="0.3">
      <c r="B9" s="7"/>
    </row>
    <row r="10" spans="1:2" ht="19.5" customHeight="1" x14ac:dyDescent="0.3">
      <c r="B10" s="6" t="s">
        <v>678</v>
      </c>
    </row>
    <row r="11" spans="1:2" ht="19.5" customHeight="1" x14ac:dyDescent="0.3">
      <c r="B11" s="7" t="s">
        <v>679</v>
      </c>
    </row>
    <row r="12" spans="1:2" ht="19.5" customHeight="1" x14ac:dyDescent="0.3">
      <c r="B12" s="7" t="s">
        <v>680</v>
      </c>
    </row>
    <row r="13" spans="1:2" ht="19.5" customHeight="1" x14ac:dyDescent="0.3">
      <c r="B13" s="7" t="s">
        <v>681</v>
      </c>
    </row>
    <row r="14" spans="1:2" ht="19.5" customHeight="1" x14ac:dyDescent="0.3">
      <c r="B14" s="7" t="s">
        <v>682</v>
      </c>
    </row>
    <row r="15" spans="1:2" ht="19.5" customHeight="1" x14ac:dyDescent="0.3">
      <c r="B15" s="7" t="s">
        <v>683</v>
      </c>
    </row>
    <row r="16" spans="1:2" ht="19.5" customHeight="1" x14ac:dyDescent="0.3">
      <c r="B16" s="7" t="s">
        <v>684</v>
      </c>
    </row>
    <row r="17" spans="2:2" ht="19.5" customHeight="1" x14ac:dyDescent="0.3">
      <c r="B17" s="7" t="s">
        <v>685</v>
      </c>
    </row>
    <row r="18" spans="2:2" ht="19.5" customHeight="1" x14ac:dyDescent="0.3">
      <c r="B18" s="7" t="s">
        <v>686</v>
      </c>
    </row>
    <row r="19" spans="2:2" ht="7.5" customHeight="1" x14ac:dyDescent="0.3">
      <c r="B19" s="7"/>
    </row>
    <row r="20" spans="2:2" ht="19.5" customHeight="1" x14ac:dyDescent="0.3">
      <c r="B20" s="6" t="s">
        <v>687</v>
      </c>
    </row>
    <row r="21" spans="2:2" ht="19.5" customHeight="1" x14ac:dyDescent="0.3">
      <c r="B21" s="7" t="s">
        <v>688</v>
      </c>
    </row>
    <row r="22" spans="2:2" ht="19.5" customHeight="1" x14ac:dyDescent="0.3">
      <c r="B22" s="7" t="s">
        <v>689</v>
      </c>
    </row>
    <row r="23" spans="2:2" ht="19.5" customHeight="1" x14ac:dyDescent="0.3">
      <c r="B23" s="7" t="s">
        <v>690</v>
      </c>
    </row>
    <row r="24" spans="2:2" ht="19.5" customHeight="1" x14ac:dyDescent="0.3">
      <c r="B24" s="7" t="s">
        <v>691</v>
      </c>
    </row>
    <row r="25" spans="2:2" ht="7.5" customHeight="1" x14ac:dyDescent="0.3">
      <c r="B25" s="7"/>
    </row>
    <row r="26" spans="2:2" ht="19.5" customHeight="1" x14ac:dyDescent="0.3">
      <c r="B26" s="6" t="s">
        <v>692</v>
      </c>
    </row>
    <row r="27" spans="2:2" ht="19.5" customHeight="1" x14ac:dyDescent="0.3">
      <c r="B27" s="7" t="s">
        <v>693</v>
      </c>
    </row>
    <row r="28" spans="2:2" ht="19.5" customHeight="1" x14ac:dyDescent="0.3">
      <c r="B28" s="7" t="s">
        <v>694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841C-FF5D-43FF-A6D1-24779E886000}">
  <dimension ref="A3:D8"/>
  <sheetViews>
    <sheetView topLeftCell="A2"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23.44140625" bestFit="1" customWidth="1"/>
  </cols>
  <sheetData>
    <row r="3" spans="1:4" x14ac:dyDescent="0.3">
      <c r="A3" s="9" t="s">
        <v>705</v>
      </c>
      <c r="B3" t="s">
        <v>707</v>
      </c>
      <c r="C3" t="s">
        <v>708</v>
      </c>
    </row>
    <row r="4" spans="1:4" x14ac:dyDescent="0.3">
      <c r="A4" s="10" t="s">
        <v>39</v>
      </c>
      <c r="B4">
        <v>22529653</v>
      </c>
      <c r="C4">
        <v>16563407</v>
      </c>
      <c r="D4">
        <f>C4/B4*100</f>
        <v>73.518251701435432</v>
      </c>
    </row>
    <row r="5" spans="1:4" x14ac:dyDescent="0.3">
      <c r="A5" s="10" t="s">
        <v>25</v>
      </c>
      <c r="B5">
        <v>39007046</v>
      </c>
      <c r="C5">
        <v>26404020</v>
      </c>
      <c r="D5">
        <f t="shared" ref="D5:D7" si="0">C5/B5*100</f>
        <v>67.690385988213521</v>
      </c>
    </row>
    <row r="6" spans="1:4" x14ac:dyDescent="0.3">
      <c r="A6" s="10" t="s">
        <v>16</v>
      </c>
      <c r="B6">
        <v>20560132</v>
      </c>
      <c r="C6">
        <v>13245722</v>
      </c>
      <c r="D6">
        <f t="shared" si="0"/>
        <v>64.424304279758516</v>
      </c>
    </row>
    <row r="7" spans="1:4" x14ac:dyDescent="0.3">
      <c r="A7" s="10" t="s">
        <v>70</v>
      </c>
      <c r="B7">
        <v>45471284</v>
      </c>
      <c r="C7">
        <v>30441067</v>
      </c>
      <c r="D7">
        <f t="shared" si="0"/>
        <v>66.945694781788006</v>
      </c>
    </row>
    <row r="8" spans="1:4" x14ac:dyDescent="0.3">
      <c r="A8" s="10" t="s">
        <v>706</v>
      </c>
      <c r="B8">
        <v>127568115</v>
      </c>
      <c r="C8">
        <v>86654216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FD90-9DED-4733-B644-FDE25FD9C0B1}">
  <dimension ref="A3:B16"/>
  <sheetViews>
    <sheetView workbookViewId="0">
      <selection activeCell="A3" sqref="A3:B15"/>
    </sheetView>
  </sheetViews>
  <sheetFormatPr defaultRowHeight="14.4" x14ac:dyDescent="0.3"/>
  <cols>
    <col min="1" max="1" width="12.5546875" bestFit="1" customWidth="1"/>
    <col min="2" max="2" width="16.33203125" bestFit="1" customWidth="1"/>
  </cols>
  <sheetData>
    <row r="3" spans="1:2" x14ac:dyDescent="0.3">
      <c r="A3" s="9" t="s">
        <v>705</v>
      </c>
      <c r="B3" t="s">
        <v>723</v>
      </c>
    </row>
    <row r="4" spans="1:2" x14ac:dyDescent="0.3">
      <c r="A4" s="10" t="s">
        <v>711</v>
      </c>
      <c r="B4">
        <v>28</v>
      </c>
    </row>
    <row r="5" spans="1:2" x14ac:dyDescent="0.3">
      <c r="A5" s="10" t="s">
        <v>712</v>
      </c>
      <c r="B5">
        <v>24</v>
      </c>
    </row>
    <row r="6" spans="1:2" x14ac:dyDescent="0.3">
      <c r="A6" s="10" t="s">
        <v>713</v>
      </c>
      <c r="B6">
        <v>22</v>
      </c>
    </row>
    <row r="7" spans="1:2" x14ac:dyDescent="0.3">
      <c r="A7" s="10" t="s">
        <v>714</v>
      </c>
      <c r="B7">
        <v>15</v>
      </c>
    </row>
    <row r="8" spans="1:2" x14ac:dyDescent="0.3">
      <c r="A8" s="10" t="s">
        <v>715</v>
      </c>
      <c r="B8">
        <v>28</v>
      </c>
    </row>
    <row r="9" spans="1:2" x14ac:dyDescent="0.3">
      <c r="A9" s="10" t="s">
        <v>716</v>
      </c>
      <c r="B9">
        <v>29</v>
      </c>
    </row>
    <row r="10" spans="1:2" x14ac:dyDescent="0.3">
      <c r="A10" s="10" t="s">
        <v>717</v>
      </c>
      <c r="B10">
        <v>36</v>
      </c>
    </row>
    <row r="11" spans="1:2" x14ac:dyDescent="0.3">
      <c r="A11" s="10" t="s">
        <v>718</v>
      </c>
      <c r="B11">
        <v>23</v>
      </c>
    </row>
    <row r="12" spans="1:2" x14ac:dyDescent="0.3">
      <c r="A12" s="10" t="s">
        <v>719</v>
      </c>
      <c r="B12">
        <v>26</v>
      </c>
    </row>
    <row r="13" spans="1:2" x14ac:dyDescent="0.3">
      <c r="A13" s="10" t="s">
        <v>720</v>
      </c>
      <c r="B13">
        <v>20</v>
      </c>
    </row>
    <row r="14" spans="1:2" x14ac:dyDescent="0.3">
      <c r="A14" s="10" t="s">
        <v>721</v>
      </c>
      <c r="B14">
        <v>25</v>
      </c>
    </row>
    <row r="15" spans="1:2" x14ac:dyDescent="0.3">
      <c r="A15" s="10" t="s">
        <v>722</v>
      </c>
      <c r="B15">
        <v>24</v>
      </c>
    </row>
    <row r="16" spans="1:2" x14ac:dyDescent="0.3">
      <c r="A16" s="10" t="s">
        <v>706</v>
      </c>
      <c r="B16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0121-A98E-462F-982D-1BD32862E341}">
  <dimension ref="B2:I14"/>
  <sheetViews>
    <sheetView zoomScale="70" zoomScaleNormal="70" workbookViewId="0">
      <selection activeCell="Y35" sqref="Y35"/>
    </sheetView>
  </sheetViews>
  <sheetFormatPr defaultRowHeight="14.4" x14ac:dyDescent="0.3"/>
  <cols>
    <col min="2" max="2" width="14.6640625" customWidth="1"/>
    <col min="3" max="3" width="20.21875" customWidth="1"/>
    <col min="5" max="5" width="30.77734375" customWidth="1"/>
    <col min="6" max="6" width="15.21875" customWidth="1"/>
    <col min="8" max="8" width="17.44140625" customWidth="1"/>
    <col min="9" max="9" width="16.5546875" customWidth="1"/>
  </cols>
  <sheetData>
    <row r="2" spans="2:9" s="11" customFormat="1" ht="17.399999999999999" x14ac:dyDescent="0.45">
      <c r="B2" s="11" t="s">
        <v>2</v>
      </c>
      <c r="C2" s="11" t="s">
        <v>709</v>
      </c>
      <c r="E2" s="11" t="s">
        <v>11</v>
      </c>
      <c r="F2" s="11" t="s">
        <v>710</v>
      </c>
      <c r="H2" s="11" t="s">
        <v>705</v>
      </c>
      <c r="I2" s="11" t="s">
        <v>723</v>
      </c>
    </row>
    <row r="3" spans="2:9" x14ac:dyDescent="0.3">
      <c r="B3" t="s">
        <v>70</v>
      </c>
      <c r="C3">
        <f>(COUNTIFS('CLEANED CLAIMS'!$C$2:$C$301,B3,'CLEANED CLAIMS'!$K$2:$K$301,"Approved")+COUNTIFS('CLEANED CLAIMS'!$C$2:$C$301,B3,'CLEANED CLAIMS'!$K$2:$K$301,"Partially Approved"))/COUNTIF('CLEANED CLAIMS'!$C$2:$C$301,B3)*100</f>
        <v>71.428571428571431</v>
      </c>
      <c r="E3" t="s">
        <v>106</v>
      </c>
      <c r="F3">
        <f>COUNTIF('CLEANED CLAIMS'!$L$2:$L$301,E3)</f>
        <v>5</v>
      </c>
      <c r="H3" t="s">
        <v>711</v>
      </c>
      <c r="I3">
        <v>28</v>
      </c>
    </row>
    <row r="4" spans="2:9" x14ac:dyDescent="0.3">
      <c r="B4" t="s">
        <v>39</v>
      </c>
      <c r="C4">
        <f>(COUNTIFS('CLEANED CLAIMS'!$C$2:$C$301,B4,'CLEANED CLAIMS'!$K$2:$K$301,"Approved")+COUNTIFS('CLEANED CLAIMS'!$C$2:$C$301,B4,'CLEANED CLAIMS'!$K$2:$K$301,"Partially Approved"))/COUNTIF('CLEANED CLAIMS'!$C$2:$C$301,B4)*100</f>
        <v>74.545454545454547</v>
      </c>
      <c r="E4" t="s">
        <v>71</v>
      </c>
      <c r="F4">
        <f>COUNTIF('CLEANED CLAIMS'!$L$2:$L$301,E4)</f>
        <v>13</v>
      </c>
      <c r="H4" t="s">
        <v>712</v>
      </c>
      <c r="I4">
        <v>24</v>
      </c>
    </row>
    <row r="5" spans="2:9" x14ac:dyDescent="0.3">
      <c r="B5" t="s">
        <v>25</v>
      </c>
      <c r="C5">
        <f>(COUNTIFS('CLEANED CLAIMS'!$C$2:$C$301,B5,'CLEANED CLAIMS'!$K$2:$K$301,"Approved")+COUNTIFS('CLEANED CLAIMS'!$C$2:$C$301,B5,'CLEANED CLAIMS'!$K$2:$K$301,"Partially Approved"))/COUNTIF('CLEANED CLAIMS'!$C$2:$C$301,B5)*100</f>
        <v>68.041237113402062</v>
      </c>
      <c r="E5" t="s">
        <v>21</v>
      </c>
      <c r="F5">
        <f>COUNTIF('CLEANED CLAIMS'!$L$2:$L$301,E5)</f>
        <v>13</v>
      </c>
      <c r="H5" t="s">
        <v>713</v>
      </c>
      <c r="I5">
        <v>22</v>
      </c>
    </row>
    <row r="6" spans="2:9" x14ac:dyDescent="0.3">
      <c r="B6" t="s">
        <v>16</v>
      </c>
      <c r="C6">
        <f>(COUNTIFS('CLEANED CLAIMS'!$C$2:$C$301,B6,'CLEANED CLAIMS'!$K$2:$K$301,"Approved")+COUNTIFS('CLEANED CLAIMS'!$C$2:$C$301,B6,'CLEANED CLAIMS'!$K$2:$K$301,"Partially Approved"))/COUNTIF('CLEANED CLAIMS'!$C$2:$C$301,B6)*100</f>
        <v>60</v>
      </c>
      <c r="E6" t="s">
        <v>114</v>
      </c>
      <c r="F6">
        <f>COUNTIF('CLEANED CLAIMS'!$L$2:$L$301,E6)</f>
        <v>12</v>
      </c>
      <c r="H6" t="s">
        <v>714</v>
      </c>
      <c r="I6">
        <v>15</v>
      </c>
    </row>
    <row r="7" spans="2:9" x14ac:dyDescent="0.3">
      <c r="E7" t="s">
        <v>52</v>
      </c>
      <c r="F7">
        <f>COUNTIF('CLEANED CLAIMS'!$L$2:$L$301,E7)</f>
        <v>13</v>
      </c>
      <c r="H7" t="s">
        <v>715</v>
      </c>
      <c r="I7">
        <v>28</v>
      </c>
    </row>
    <row r="8" spans="2:9" x14ac:dyDescent="0.3">
      <c r="H8" t="s">
        <v>716</v>
      </c>
      <c r="I8">
        <v>29</v>
      </c>
    </row>
    <row r="9" spans="2:9" x14ac:dyDescent="0.3">
      <c r="H9" t="s">
        <v>717</v>
      </c>
      <c r="I9">
        <v>36</v>
      </c>
    </row>
    <row r="10" spans="2:9" x14ac:dyDescent="0.3">
      <c r="H10" t="s">
        <v>718</v>
      </c>
      <c r="I10">
        <v>23</v>
      </c>
    </row>
    <row r="11" spans="2:9" x14ac:dyDescent="0.3">
      <c r="H11" t="s">
        <v>719</v>
      </c>
      <c r="I11">
        <v>26</v>
      </c>
    </row>
    <row r="12" spans="2:9" x14ac:dyDescent="0.3">
      <c r="H12" t="s">
        <v>720</v>
      </c>
      <c r="I12">
        <v>20</v>
      </c>
    </row>
    <row r="13" spans="2:9" x14ac:dyDescent="0.3">
      <c r="H13" t="s">
        <v>721</v>
      </c>
      <c r="I13">
        <v>25</v>
      </c>
    </row>
    <row r="14" spans="2:9" x14ac:dyDescent="0.3">
      <c r="H14" t="s">
        <v>722</v>
      </c>
      <c r="I14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 RAW DATA</vt:lpstr>
      <vt:lpstr>CLEANED CLAIMS</vt:lpstr>
      <vt:lpstr>BUSINESS QUESTIONS</vt:lpstr>
      <vt:lpstr>pivot table 1</vt:lpstr>
      <vt:lpstr>pivot table 2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ogoma okuma</cp:lastModifiedBy>
  <cp:revision>0</cp:revision>
  <dcterms:created xsi:type="dcterms:W3CDTF">2026-06-22T06:47:56Z</dcterms:created>
  <dcterms:modified xsi:type="dcterms:W3CDTF">2026-07-09T05:18:52Z</dcterms:modified>
  <dc:language>en-US</dc:language>
</cp:coreProperties>
</file>