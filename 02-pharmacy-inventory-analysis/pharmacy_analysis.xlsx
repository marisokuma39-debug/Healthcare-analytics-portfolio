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vid\Desktop\hospital_data\my portfolio project\"/>
    </mc:Choice>
  </mc:AlternateContent>
  <xr:revisionPtr revIDLastSave="0" documentId="8_{562B538F-8668-40D8-B2E5-961C5830664B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PHARMACY RAW DATA" sheetId="1" r:id="rId1"/>
    <sheet name="CLEANED PHARMACY data" sheetId="4" r:id="rId2"/>
    <sheet name="BUSINESS QUESTIONS" sheetId="2" r:id="rId3"/>
    <sheet name="pivot table" sheetId="6" r:id="rId4"/>
    <sheet name="DASHBOARD" sheetId="7" r:id="rId5"/>
  </sheets>
  <definedNames>
    <definedName name="_xlnm._FilterDatabase" localSheetId="1" hidden="1">'CLEANED PHARMACY data'!$D$1:$D$155</definedName>
  </definedNames>
  <calcPr calcId="19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6" i="4" l="1"/>
  <c r="R16" i="4" s="1"/>
  <c r="Q3" i="4"/>
  <c r="R3" i="4" s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2" i="4"/>
  <c r="AC7" i="4"/>
  <c r="AC5" i="4"/>
  <c r="AC3" i="4"/>
  <c r="AC4" i="4"/>
  <c r="AC6" i="4"/>
  <c r="AC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Z117" i="4"/>
  <c r="Z116" i="4"/>
  <c r="Z115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Z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2" i="4"/>
  <c r="V16" i="4"/>
  <c r="V15" i="4"/>
  <c r="V3" i="4"/>
  <c r="V4" i="4"/>
  <c r="V5" i="4"/>
  <c r="V6" i="4"/>
  <c r="V7" i="4"/>
  <c r="V8" i="4"/>
  <c r="V9" i="4"/>
  <c r="V10" i="4"/>
  <c r="V11" i="4"/>
  <c r="V12" i="4"/>
  <c r="V13" i="4"/>
  <c r="V14" i="4"/>
  <c r="V2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Q2" i="4"/>
  <c r="R2" i="4" s="1"/>
  <c r="Q4" i="4"/>
  <c r="R4" i="4" s="1"/>
  <c r="Q5" i="4"/>
  <c r="R5" i="4" s="1"/>
  <c r="Q6" i="4"/>
  <c r="R6" i="4" s="1"/>
  <c r="Q7" i="4"/>
  <c r="R7" i="4" s="1"/>
  <c r="Q8" i="4"/>
  <c r="R8" i="4" s="1"/>
  <c r="Q9" i="4"/>
  <c r="R9" i="4" s="1"/>
  <c r="Q10" i="4"/>
  <c r="R10" i="4" s="1"/>
  <c r="Q11" i="4"/>
  <c r="R11" i="4" s="1"/>
  <c r="Q12" i="4"/>
  <c r="R12" i="4" s="1"/>
  <c r="Q13" i="4"/>
  <c r="R13" i="4" s="1"/>
  <c r="Q14" i="4"/>
  <c r="R14" i="4" s="1"/>
  <c r="Q15" i="4"/>
  <c r="R15" i="4" s="1"/>
  <c r="Q17" i="4"/>
  <c r="R17" i="4" s="1"/>
  <c r="Q18" i="4"/>
  <c r="R18" i="4" s="1"/>
  <c r="Q19" i="4"/>
  <c r="R19" i="4" s="1"/>
  <c r="Q20" i="4"/>
  <c r="R20" i="4" s="1"/>
  <c r="Q21" i="4"/>
  <c r="R21" i="4" s="1"/>
  <c r="Q22" i="4"/>
  <c r="R22" i="4" s="1"/>
  <c r="Q23" i="4"/>
  <c r="R23" i="4" s="1"/>
  <c r="Q24" i="4"/>
  <c r="R24" i="4" s="1"/>
  <c r="Q25" i="4"/>
  <c r="R25" i="4" s="1"/>
  <c r="Q26" i="4"/>
  <c r="R26" i="4" s="1"/>
  <c r="Q27" i="4"/>
  <c r="R27" i="4" s="1"/>
  <c r="Q28" i="4"/>
  <c r="R28" i="4" s="1"/>
  <c r="Q29" i="4"/>
  <c r="R29" i="4" s="1"/>
  <c r="Q30" i="4"/>
  <c r="R30" i="4" s="1"/>
  <c r="Q31" i="4"/>
  <c r="R31" i="4" s="1"/>
  <c r="Q32" i="4"/>
  <c r="R32" i="4" s="1"/>
  <c r="Q33" i="4"/>
  <c r="R33" i="4" s="1"/>
  <c r="Q34" i="4"/>
  <c r="R34" i="4" s="1"/>
  <c r="Q35" i="4"/>
  <c r="R35" i="4" s="1"/>
  <c r="Q36" i="4"/>
  <c r="R36" i="4" s="1"/>
  <c r="Q37" i="4"/>
  <c r="R37" i="4" s="1"/>
  <c r="Q38" i="4"/>
  <c r="R38" i="4" s="1"/>
  <c r="Q39" i="4"/>
  <c r="R39" i="4" s="1"/>
  <c r="Q40" i="4"/>
  <c r="R40" i="4" s="1"/>
  <c r="Q41" i="4"/>
  <c r="R41" i="4" s="1"/>
  <c r="Q42" i="4"/>
  <c r="R42" i="4" s="1"/>
  <c r="Q43" i="4"/>
  <c r="R43" i="4" s="1"/>
  <c r="Q44" i="4"/>
  <c r="R44" i="4" s="1"/>
  <c r="Q45" i="4"/>
  <c r="R45" i="4" s="1"/>
  <c r="Q46" i="4"/>
  <c r="R46" i="4" s="1"/>
  <c r="Q47" i="4"/>
  <c r="R47" i="4" s="1"/>
  <c r="Q48" i="4"/>
  <c r="R48" i="4" s="1"/>
  <c r="Q49" i="4"/>
  <c r="R49" i="4" s="1"/>
  <c r="Q50" i="4"/>
  <c r="R50" i="4" s="1"/>
  <c r="Q51" i="4"/>
  <c r="R51" i="4" s="1"/>
  <c r="Q52" i="4"/>
  <c r="R52" i="4" s="1"/>
  <c r="Q53" i="4"/>
  <c r="R53" i="4" s="1"/>
  <c r="Q54" i="4"/>
  <c r="R54" i="4" s="1"/>
  <c r="Q55" i="4"/>
  <c r="R55" i="4" s="1"/>
  <c r="Q56" i="4"/>
  <c r="R56" i="4" s="1"/>
  <c r="Q57" i="4"/>
  <c r="R57" i="4" s="1"/>
  <c r="Q58" i="4"/>
  <c r="R58" i="4" s="1"/>
  <c r="Q59" i="4"/>
  <c r="R59" i="4" s="1"/>
  <c r="Q60" i="4"/>
  <c r="R60" i="4" s="1"/>
  <c r="Q61" i="4"/>
  <c r="R61" i="4" s="1"/>
  <c r="Q62" i="4"/>
  <c r="R62" i="4" s="1"/>
  <c r="Q63" i="4"/>
  <c r="R63" i="4" s="1"/>
  <c r="Q64" i="4"/>
  <c r="R64" i="4" s="1"/>
  <c r="Q65" i="4"/>
  <c r="R65" i="4" s="1"/>
  <c r="Q66" i="4"/>
  <c r="R66" i="4" s="1"/>
  <c r="Q67" i="4"/>
  <c r="R67" i="4" s="1"/>
  <c r="Q68" i="4"/>
  <c r="R68" i="4" s="1"/>
  <c r="Q69" i="4"/>
  <c r="R69" i="4" s="1"/>
  <c r="Q70" i="4"/>
  <c r="R70" i="4" s="1"/>
  <c r="Q71" i="4"/>
  <c r="R71" i="4" s="1"/>
  <c r="Q72" i="4"/>
  <c r="R72" i="4" s="1"/>
  <c r="Q73" i="4"/>
  <c r="R73" i="4" s="1"/>
  <c r="Q74" i="4"/>
  <c r="R74" i="4" s="1"/>
  <c r="Q75" i="4"/>
  <c r="R75" i="4" s="1"/>
  <c r="Q76" i="4"/>
  <c r="R76" i="4" s="1"/>
  <c r="Q77" i="4"/>
  <c r="R77" i="4" s="1"/>
  <c r="Q78" i="4"/>
  <c r="R78" i="4" s="1"/>
  <c r="Q79" i="4"/>
  <c r="R79" i="4" s="1"/>
  <c r="Q80" i="4"/>
  <c r="R80" i="4" s="1"/>
  <c r="Q81" i="4"/>
  <c r="R81" i="4" s="1"/>
  <c r="Q82" i="4"/>
  <c r="R82" i="4" s="1"/>
  <c r="Q83" i="4"/>
  <c r="R83" i="4" s="1"/>
  <c r="Q84" i="4"/>
  <c r="R84" i="4" s="1"/>
  <c r="Q85" i="4"/>
  <c r="R85" i="4" s="1"/>
  <c r="Q86" i="4"/>
  <c r="R86" i="4" s="1"/>
  <c r="Q87" i="4"/>
  <c r="R87" i="4" s="1"/>
  <c r="Q88" i="4"/>
  <c r="R88" i="4" s="1"/>
  <c r="Q89" i="4"/>
  <c r="R89" i="4" s="1"/>
  <c r="Q90" i="4"/>
  <c r="R90" i="4" s="1"/>
  <c r="Q91" i="4"/>
  <c r="R91" i="4" s="1"/>
  <c r="Q92" i="4"/>
  <c r="R92" i="4" s="1"/>
  <c r="Q93" i="4"/>
  <c r="R93" i="4" s="1"/>
  <c r="Q94" i="4"/>
  <c r="R94" i="4" s="1"/>
  <c r="Q95" i="4"/>
  <c r="R95" i="4" s="1"/>
  <c r="Q96" i="4"/>
  <c r="R96" i="4" s="1"/>
  <c r="Q97" i="4"/>
  <c r="R97" i="4" s="1"/>
  <c r="Q98" i="4"/>
  <c r="R98" i="4" s="1"/>
  <c r="Q99" i="4"/>
  <c r="R99" i="4" s="1"/>
  <c r="Q100" i="4"/>
  <c r="R100" i="4" s="1"/>
  <c r="Q101" i="4"/>
  <c r="R101" i="4" s="1"/>
  <c r="Q102" i="4"/>
  <c r="R102" i="4" s="1"/>
  <c r="Q103" i="4"/>
  <c r="R103" i="4" s="1"/>
  <c r="Q104" i="4"/>
  <c r="R104" i="4" s="1"/>
  <c r="Q105" i="4"/>
  <c r="R105" i="4" s="1"/>
  <c r="Q106" i="4"/>
  <c r="R106" i="4" s="1"/>
  <c r="Q107" i="4"/>
  <c r="R107" i="4" s="1"/>
  <c r="Q108" i="4"/>
  <c r="R108" i="4" s="1"/>
  <c r="Q109" i="4"/>
  <c r="R109" i="4" s="1"/>
  <c r="Q110" i="4"/>
  <c r="R110" i="4" s="1"/>
  <c r="Q111" i="4"/>
  <c r="R111" i="4" s="1"/>
  <c r="Q112" i="4"/>
  <c r="R112" i="4" s="1"/>
  <c r="Q113" i="4"/>
  <c r="R113" i="4" s="1"/>
  <c r="Q114" i="4"/>
  <c r="R114" i="4" s="1"/>
  <c r="Q115" i="4"/>
  <c r="R115" i="4" s="1"/>
  <c r="Q116" i="4"/>
  <c r="R116" i="4" s="1"/>
  <c r="Q117" i="4"/>
  <c r="R117" i="4" s="1"/>
  <c r="Q118" i="4"/>
  <c r="R118" i="4" s="1"/>
  <c r="Q119" i="4"/>
  <c r="R119" i="4" s="1"/>
  <c r="Q120" i="4"/>
  <c r="R120" i="4" s="1"/>
  <c r="Q121" i="4"/>
  <c r="R121" i="4" s="1"/>
  <c r="Q122" i="4"/>
  <c r="R122" i="4" s="1"/>
  <c r="Q123" i="4"/>
  <c r="R123" i="4" s="1"/>
  <c r="Q124" i="4"/>
  <c r="R124" i="4" s="1"/>
  <c r="Q125" i="4"/>
  <c r="R125" i="4" s="1"/>
  <c r="Q126" i="4"/>
  <c r="R126" i="4" s="1"/>
  <c r="Q127" i="4"/>
  <c r="R127" i="4" s="1"/>
  <c r="Q128" i="4"/>
  <c r="R128" i="4" s="1"/>
  <c r="Q129" i="4"/>
  <c r="R129" i="4" s="1"/>
  <c r="Q130" i="4"/>
  <c r="R130" i="4" s="1"/>
  <c r="Q131" i="4"/>
  <c r="R131" i="4" s="1"/>
  <c r="Q132" i="4"/>
  <c r="R132" i="4" s="1"/>
  <c r="Q133" i="4"/>
  <c r="R133" i="4" s="1"/>
  <c r="Q134" i="4"/>
  <c r="R134" i="4" s="1"/>
  <c r="Q135" i="4"/>
  <c r="R135" i="4" s="1"/>
  <c r="Q136" i="4"/>
  <c r="R136" i="4" s="1"/>
  <c r="Q137" i="4"/>
  <c r="R137" i="4" s="1"/>
  <c r="Q138" i="4"/>
  <c r="R138" i="4" s="1"/>
  <c r="Q139" i="4"/>
  <c r="R139" i="4" s="1"/>
  <c r="Q140" i="4"/>
  <c r="R140" i="4" s="1"/>
  <c r="Q141" i="4"/>
  <c r="R141" i="4" s="1"/>
  <c r="Q142" i="4"/>
  <c r="R142" i="4" s="1"/>
  <c r="Q143" i="4"/>
  <c r="R143" i="4" s="1"/>
  <c r="Q144" i="4"/>
  <c r="R144" i="4" s="1"/>
  <c r="Q145" i="4"/>
  <c r="R145" i="4" s="1"/>
  <c r="Q146" i="4"/>
  <c r="R146" i="4" s="1"/>
  <c r="Q147" i="4"/>
  <c r="R147" i="4" s="1"/>
  <c r="Q148" i="4"/>
  <c r="R148" i="4" s="1"/>
  <c r="Q149" i="4"/>
  <c r="R149" i="4" s="1"/>
  <c r="Q150" i="4"/>
  <c r="R150" i="4" s="1"/>
  <c r="Q151" i="4"/>
  <c r="R151" i="4" s="1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2" i="4"/>
  <c r="Y5" i="4" l="1"/>
  <c r="Y2" i="4"/>
  <c r="Y7" i="4" s="1"/>
  <c r="V17" i="4"/>
  <c r="Y3" i="4"/>
  <c r="Y6" i="4"/>
  <c r="Y4" i="4"/>
</calcChain>
</file>

<file path=xl/sharedStrings.xml><?xml version="1.0" encoding="utf-8"?>
<sst xmlns="http://schemas.openxmlformats.org/spreadsheetml/2006/main" count="1959" uniqueCount="269">
  <si>
    <t>Drug_ID</t>
  </si>
  <si>
    <t>Drug Name</t>
  </si>
  <si>
    <t>Category</t>
  </si>
  <si>
    <t>Supplier</t>
  </si>
  <si>
    <t>Unit Price (₦)</t>
  </si>
  <si>
    <t>Stock Quantity</t>
  </si>
  <si>
    <t>Reorder Level</t>
  </si>
  <si>
    <t>Date Received</t>
  </si>
  <si>
    <t>Expiry Date</t>
  </si>
  <si>
    <t>Monthly Demand</t>
  </si>
  <si>
    <t>Branch</t>
  </si>
  <si>
    <t>Dispensed This Month</t>
  </si>
  <si>
    <t>Stock Status</t>
  </si>
  <si>
    <t>DRG0044</t>
  </si>
  <si>
    <t>Folic Acid 5mg</t>
  </si>
  <si>
    <t>Supplement</t>
  </si>
  <si>
    <t>GlobalMed Nigeria</t>
  </si>
  <si>
    <t>Lekki Branch</t>
  </si>
  <si>
    <t>In Stock</t>
  </si>
  <si>
    <t>DRG0118</t>
  </si>
  <si>
    <t>Gentamicin Eye Drops</t>
  </si>
  <si>
    <t>Ophthalmic</t>
  </si>
  <si>
    <t>NovaDrugs Abuja</t>
  </si>
  <si>
    <t>Surulere Branch</t>
  </si>
  <si>
    <t>low stock</t>
  </si>
  <si>
    <t>DRG0068</t>
  </si>
  <si>
    <t>Metronidazole 400mg</t>
  </si>
  <si>
    <t>Antibiotic</t>
  </si>
  <si>
    <t>Yaba Branch</t>
  </si>
  <si>
    <t>Expired</t>
  </si>
  <si>
    <t>DRG0047</t>
  </si>
  <si>
    <t>Doxycycline 100mg</t>
  </si>
  <si>
    <t>Low Stock</t>
  </si>
  <si>
    <t>DRG0009</t>
  </si>
  <si>
    <t>Atorvastatin 20mg</t>
  </si>
  <si>
    <t>Antilipid</t>
  </si>
  <si>
    <t>Ikeja Branch</t>
  </si>
  <si>
    <t>expired</t>
  </si>
  <si>
    <t>DRG0048</t>
  </si>
  <si>
    <t>Hydrochlorothiazide 25mg</t>
  </si>
  <si>
    <t>Antihypertensive</t>
  </si>
  <si>
    <t>DRG0111</t>
  </si>
  <si>
    <t>Ceftriaxone 1g</t>
  </si>
  <si>
    <t>PharmaCare NG</t>
  </si>
  <si>
    <t>DRG0034</t>
  </si>
  <si>
    <t>Artemether/Lumefantrine</t>
  </si>
  <si>
    <t>Antimalarial</t>
  </si>
  <si>
    <t>DRG0106</t>
  </si>
  <si>
    <t>Insulin Glargine</t>
  </si>
  <si>
    <t>Antidiabetic</t>
  </si>
  <si>
    <t>MedSupply Lagos</t>
  </si>
  <si>
    <t>IN STOCK</t>
  </si>
  <si>
    <t>DRG0018</t>
  </si>
  <si>
    <t>HealthBridge Ltd</t>
  </si>
  <si>
    <t>DRG0081</t>
  </si>
  <si>
    <t>DRG0115</t>
  </si>
  <si>
    <t>Cotrimoxazole 480mg</t>
  </si>
  <si>
    <t>DRG0078</t>
  </si>
  <si>
    <t>DRG0067</t>
  </si>
  <si>
    <t>Amlodipine 5mg</t>
  </si>
  <si>
    <t>DRG0113</t>
  </si>
  <si>
    <t>Ibuprofen 400mg</t>
  </si>
  <si>
    <t>Anti-inflammatory</t>
  </si>
  <si>
    <t>DRG0016</t>
  </si>
  <si>
    <t>DRG0059</t>
  </si>
  <si>
    <t>Oral Rehydration Salt</t>
  </si>
  <si>
    <t>Electrolyte</t>
  </si>
  <si>
    <t>DRG0026</t>
  </si>
  <si>
    <t>Nifedipine 10mg</t>
  </si>
  <si>
    <t>DRG0084</t>
  </si>
  <si>
    <t>Ferrous Sulphate 200mg</t>
  </si>
  <si>
    <t>OUT OF STOCK</t>
  </si>
  <si>
    <t>DRG0003</t>
  </si>
  <si>
    <t>Lisinopril 10mg</t>
  </si>
  <si>
    <t>DRG0010</t>
  </si>
  <si>
    <t>Salbutamol Inhaler</t>
  </si>
  <si>
    <t>Respiratory</t>
  </si>
  <si>
    <t>DRG0074</t>
  </si>
  <si>
    <t>DRG0060</t>
  </si>
  <si>
    <t>Multivitamin Syrup</t>
  </si>
  <si>
    <t>DRG0041</t>
  </si>
  <si>
    <t>Fluconazole 150mg</t>
  </si>
  <si>
    <t>Antifungal</t>
  </si>
  <si>
    <t>DRG0072</t>
  </si>
  <si>
    <t>Ciprofloxacin 500mg</t>
  </si>
  <si>
    <t>DRG0079</t>
  </si>
  <si>
    <t>Azithromycin 500mg</t>
  </si>
  <si>
    <t>DRG0101</t>
  </si>
  <si>
    <t>DRG0014</t>
  </si>
  <si>
    <t>DRG0119</t>
  </si>
  <si>
    <t>DRG0124</t>
  </si>
  <si>
    <t>Abuja Branch</t>
  </si>
  <si>
    <t>DRG0121</t>
  </si>
  <si>
    <t>Amoxicillin 500mg</t>
  </si>
  <si>
    <t>DRG0108</t>
  </si>
  <si>
    <t>DRG0123</t>
  </si>
  <si>
    <t>DRG0024</t>
  </si>
  <si>
    <t>DRG0031</t>
  </si>
  <si>
    <t>DRG0138</t>
  </si>
  <si>
    <t>DRG0144</t>
  </si>
  <si>
    <t>DRG0109</t>
  </si>
  <si>
    <t>DRG0005</t>
  </si>
  <si>
    <t>Paracetamol 500mg</t>
  </si>
  <si>
    <t>Analgesic</t>
  </si>
  <si>
    <t>DRG0128</t>
  </si>
  <si>
    <t>DRG0122</t>
  </si>
  <si>
    <t>Metformin 500mg</t>
  </si>
  <si>
    <t>DRG0091</t>
  </si>
  <si>
    <t>DRG0076</t>
  </si>
  <si>
    <t>DRG0011</t>
  </si>
  <si>
    <t>DRG0073</t>
  </si>
  <si>
    <t>Diclofenac 50mg</t>
  </si>
  <si>
    <t>DRG0022</t>
  </si>
  <si>
    <t>Prednisolone 5mg</t>
  </si>
  <si>
    <t>Corticosteroid</t>
  </si>
  <si>
    <t>DRG0019</t>
  </si>
  <si>
    <t>DRG0082</t>
  </si>
  <si>
    <t>DRG0139</t>
  </si>
  <si>
    <t>DRG0069</t>
  </si>
  <si>
    <t>DRG0112</t>
  </si>
  <si>
    <t>DRG0004</t>
  </si>
  <si>
    <t>DRG0012</t>
  </si>
  <si>
    <t>DRG0043</t>
  </si>
  <si>
    <t>DRG0035</t>
  </si>
  <si>
    <t>DRG0066</t>
  </si>
  <si>
    <t>Omeprazole 20mg</t>
  </si>
  <si>
    <t>Antacid</t>
  </si>
  <si>
    <t>DRG0064</t>
  </si>
  <si>
    <t>DRG0087</t>
  </si>
  <si>
    <t>Loratadine 10mg</t>
  </si>
  <si>
    <t>Antihistamine</t>
  </si>
  <si>
    <t>DRG0148</t>
  </si>
  <si>
    <t>DRG0023</t>
  </si>
  <si>
    <t>DRG0051</t>
  </si>
  <si>
    <t>DRG0063</t>
  </si>
  <si>
    <t>DRG0036</t>
  </si>
  <si>
    <t>DRG0058</t>
  </si>
  <si>
    <t>DRG0083</t>
  </si>
  <si>
    <t>DRG0104</t>
  </si>
  <si>
    <t>DRG0120</t>
  </si>
  <si>
    <t>DRG0032</t>
  </si>
  <si>
    <t>DRG0102</t>
  </si>
  <si>
    <t>DRG0017</t>
  </si>
  <si>
    <t>DRG0006</t>
  </si>
  <si>
    <t>DRG0030</t>
  </si>
  <si>
    <t>DRG0103</t>
  </si>
  <si>
    <t>DRG0140</t>
  </si>
  <si>
    <t>Tramadol 50mg</t>
  </si>
  <si>
    <t>DRG0145</t>
  </si>
  <si>
    <t>DRG0097</t>
  </si>
  <si>
    <t>DRG0002</t>
  </si>
  <si>
    <t>DRG0025</t>
  </si>
  <si>
    <t>DRG0149</t>
  </si>
  <si>
    <t>DRG0065</t>
  </si>
  <si>
    <t>DRG0092</t>
  </si>
  <si>
    <t>DRG0038</t>
  </si>
  <si>
    <t>DRG0046</t>
  </si>
  <si>
    <t>DRG0015</t>
  </si>
  <si>
    <t>Vitamin C 1000mg</t>
  </si>
  <si>
    <t>DRG0110</t>
  </si>
  <si>
    <t>DRG0055</t>
  </si>
  <si>
    <t>DRG0049</t>
  </si>
  <si>
    <t>DRG0007</t>
  </si>
  <si>
    <t>DRG0057</t>
  </si>
  <si>
    <t>DRG0045</t>
  </si>
  <si>
    <t>DRG0085</t>
  </si>
  <si>
    <t>DRG0136</t>
  </si>
  <si>
    <t>DRG0008</t>
  </si>
  <si>
    <t>DRG0131</t>
  </si>
  <si>
    <t>DRG0080</t>
  </si>
  <si>
    <t>DRG0133</t>
  </si>
  <si>
    <t>DRG0039</t>
  </si>
  <si>
    <t>in stock</t>
  </si>
  <si>
    <t>DRG0088</t>
  </si>
  <si>
    <t>DRG0093</t>
  </si>
  <si>
    <t>DRG0086</t>
  </si>
  <si>
    <t>DRG0075</t>
  </si>
  <si>
    <t>DRG0125</t>
  </si>
  <si>
    <t>DRG0052</t>
  </si>
  <si>
    <t>DRG0089</t>
  </si>
  <si>
    <t>DRG0117</t>
  </si>
  <si>
    <t>DRG0114</t>
  </si>
  <si>
    <t>DRG0142</t>
  </si>
  <si>
    <t>DRG0013</t>
  </si>
  <si>
    <t>DRG0134</t>
  </si>
  <si>
    <t>DRG0096</t>
  </si>
  <si>
    <t>DRG0056</t>
  </si>
  <si>
    <t>DRG0028</t>
  </si>
  <si>
    <t>DRG0143</t>
  </si>
  <si>
    <t>DRG0100</t>
  </si>
  <si>
    <t>DRG0001</t>
  </si>
  <si>
    <t>DRG0130</t>
  </si>
  <si>
    <t>DRG0090</t>
  </si>
  <si>
    <t>DRG0077</t>
  </si>
  <si>
    <t>DRG0071</t>
  </si>
  <si>
    <t>DRG0132</t>
  </si>
  <si>
    <t>DRG0095</t>
  </si>
  <si>
    <t>DRG0062</t>
  </si>
  <si>
    <t>DRG0141</t>
  </si>
  <si>
    <t>DRG0098</t>
  </si>
  <si>
    <t>DRG0042</t>
  </si>
  <si>
    <t>DRG0146</t>
  </si>
  <si>
    <t>DRG0027</t>
  </si>
  <si>
    <t>DRG0037</t>
  </si>
  <si>
    <t>DRG0135</t>
  </si>
  <si>
    <t>DRG0020</t>
  </si>
  <si>
    <t>DRG0040</t>
  </si>
  <si>
    <t>DRG0126</t>
  </si>
  <si>
    <t>DRG0054</t>
  </si>
  <si>
    <t>DRG0029</t>
  </si>
  <si>
    <t>DRG0053</t>
  </si>
  <si>
    <t>DRG0127</t>
  </si>
  <si>
    <t>DRG0094</t>
  </si>
  <si>
    <t>DRG0129</t>
  </si>
  <si>
    <t>DRG0033</t>
  </si>
  <si>
    <t>DRG0099</t>
  </si>
  <si>
    <t>DRG0105</t>
  </si>
  <si>
    <t>DRG0137</t>
  </si>
  <si>
    <t>DRG0070</t>
  </si>
  <si>
    <t>DRG0021</t>
  </si>
  <si>
    <t>DRG0116</t>
  </si>
  <si>
    <t>DRG0147</t>
  </si>
  <si>
    <t>DRG0107</t>
  </si>
  <si>
    <t>DRG0050</t>
  </si>
  <si>
    <t>DRG0061</t>
  </si>
  <si>
    <t>DRG0150</t>
  </si>
  <si>
    <t>PROJECT 2 — Pharmacy Inventory Analysis</t>
  </si>
  <si>
    <t>Clean the data first. Then answer every question below. You will be guided step by step.</t>
  </si>
  <si>
    <t>DATA CLEANING</t>
  </si>
  <si>
    <t>1. Remove duplicate drug records using Drug_ID.</t>
  </si>
  <si>
    <t>2. Standardise Stock Status to exactly 4 categories: In Stock, Low Stock, Out of Stock, Expired.</t>
  </si>
  <si>
    <t>3. Flag missing Unit Prices and missing Stock Quantities instead of deleting those rows.</t>
  </si>
  <si>
    <t>4. Identify drugs that are expired (Expiry Date before today) and flag them in a new column.</t>
  </si>
  <si>
    <t>5. Calculate Days Until Expiry = Expiry Date - Today's Date (use negative numbers for already expired).</t>
  </si>
  <si>
    <t>ANALYSIS QUESTIONS</t>
  </si>
  <si>
    <t>6. How many unique drug categories exist, and how many drugs are in each category?</t>
  </si>
  <si>
    <t>7. Which branch has the highest total inventory value (Stock Quantity × Unit Price)?</t>
  </si>
  <si>
    <t>8. Which drugs are below their reorder level and need urgent restocking?</t>
  </si>
  <si>
    <t>9. Which supplier supplies the most drugs across all branches?</t>
  </si>
  <si>
    <t>10. What is the average unit price per drug category?</t>
  </si>
  <si>
    <t>11. Which drugs are expiring within the next 90 days? (Flag as 'Expiring Soon')</t>
  </si>
  <si>
    <t>12. What is the stock coverage ratio per drug? (Stock Quantity ÷ Monthly Demand = months of stock left)</t>
  </si>
  <si>
    <t>13. Build a pivot table showing total inventory value by Branch and Category.</t>
  </si>
  <si>
    <t>VISUALISATION</t>
  </si>
  <si>
    <t>14. Bar chart — Drug count by Category.</t>
  </si>
  <si>
    <t>15. Bar chart — Total inventory value by Branch.</t>
  </si>
  <si>
    <t>16. Conditional formatting — highlight Stock Quantity below Reorder Level in red.</t>
  </si>
  <si>
    <t>17. Conditional formatting — highlight Expiry Dates within 90 days in orange.</t>
  </si>
  <si>
    <t>DELIVERABLE</t>
  </si>
  <si>
    <t>Write a 4-6 sentence data story: What is the pharmacy's biggest inventory risk right now?</t>
  </si>
  <si>
    <t>Package for GitHub: README.md + raw_data.xlsx + cleaned_data.xlsx + dashboard screenshot.</t>
  </si>
  <si>
    <t>Out of Stock</t>
  </si>
  <si>
    <t xml:space="preserve">Price Flag </t>
  </si>
  <si>
    <t>Quantity Flag</t>
  </si>
  <si>
    <t>Expiry Flag</t>
  </si>
  <si>
    <t>Days Until Expiry</t>
  </si>
  <si>
    <t>Expiry Risk</t>
  </si>
  <si>
    <t>Stock Coverage (Months)</t>
  </si>
  <si>
    <t>Drug Count</t>
  </si>
  <si>
    <t>Inventory Value</t>
  </si>
  <si>
    <t>Total Inventory Value</t>
  </si>
  <si>
    <t>Restock Needed</t>
  </si>
  <si>
    <t>Avg Unit Price (₦)</t>
  </si>
  <si>
    <t>Row Labels</t>
  </si>
  <si>
    <t>Grand Total</t>
  </si>
  <si>
    <t>Drug Category List</t>
  </si>
  <si>
    <t>Column Labels</t>
  </si>
  <si>
    <t>Sum of Inventory Value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</si>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</sst>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color rgb="FFFF0000"/>
      <name val="Arial"/>
      <charset val="1"/>
    </font>
    <font>
      <b/>
      <sz val="14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sz val="9"/>
      <name val="Arial"/>
      <family val="2"/>
    </font>
    <font>
      <b/>
      <sz val="10"/>
      <color rgb="FFFFFFFF"/>
      <name val="Arial"/>
      <family val="2"/>
    </font>
    <font>
      <sz val="14"/>
      <color theme="1"/>
      <name val="Calibri"/>
      <family val="2"/>
      <charset val="1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7D31"/>
        <bgColor rgb="FFFF8080"/>
      </patternFill>
    </fill>
    <fill>
      <patternFill patternType="solid">
        <fgColor rgb="FFDEEAF1"/>
        <bgColor rgb="FFCCFFFF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4" borderId="0" xfId="0" applyFont="1" applyFill="1"/>
    <xf numFmtId="0" fontId="6" fillId="0" borderId="0" xfId="0" applyFont="1" applyAlignment="1">
      <alignment vertical="center" wrapText="1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7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5" borderId="0" xfId="0" applyFont="1" applyFill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Drug Count by Category - 2024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DASHBOARD!$C$2</c:f>
              <c:strCache>
                <c:ptCount val="1"/>
                <c:pt idx="0">
                  <c:v>Drug Count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DASHBOARD!$B$3:$B$17</c:f>
              <c:strCache>
                <c:ptCount val="15"/>
                <c:pt idx="0">
                  <c:v>Analgesic</c:v>
                </c:pt>
                <c:pt idx="1">
                  <c:v>Antacid</c:v>
                </c:pt>
                <c:pt idx="2">
                  <c:v>Antibiotic</c:v>
                </c:pt>
                <c:pt idx="3">
                  <c:v>Antihypertensive</c:v>
                </c:pt>
                <c:pt idx="4">
                  <c:v>Supplement</c:v>
                </c:pt>
                <c:pt idx="5">
                  <c:v>Antilipid</c:v>
                </c:pt>
                <c:pt idx="6">
                  <c:v>Respiratory</c:v>
                </c:pt>
                <c:pt idx="7">
                  <c:v>Antihistamine</c:v>
                </c:pt>
                <c:pt idx="8">
                  <c:v>Antimalarial</c:v>
                </c:pt>
                <c:pt idx="9">
                  <c:v>Antidiabetic</c:v>
                </c:pt>
                <c:pt idx="10">
                  <c:v>Electrolyte</c:v>
                </c:pt>
                <c:pt idx="11">
                  <c:v>Ophthalmic</c:v>
                </c:pt>
                <c:pt idx="12">
                  <c:v>Corticosteroid</c:v>
                </c:pt>
                <c:pt idx="13">
                  <c:v>Anti-inflammatory</c:v>
                </c:pt>
                <c:pt idx="14">
                  <c:v>Antifungal</c:v>
                </c:pt>
              </c:strCache>
            </c:strRef>
          </c:cat>
          <c:val>
            <c:numRef>
              <c:f>DASHBOARD!$C$3:$C$17</c:f>
              <c:numCache>
                <c:formatCode>General</c:formatCode>
                <c:ptCount val="15"/>
                <c:pt idx="0">
                  <c:v>10</c:v>
                </c:pt>
                <c:pt idx="1">
                  <c:v>5</c:v>
                </c:pt>
                <c:pt idx="2">
                  <c:v>35</c:v>
                </c:pt>
                <c:pt idx="3">
                  <c:v>20</c:v>
                </c:pt>
                <c:pt idx="4">
                  <c:v>20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10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10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0-4850-BEAF-E41B5797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09819168"/>
        <c:axId val="1564036816"/>
      </c:barChart>
      <c:catAx>
        <c:axId val="180981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036816"/>
        <c:crosses val="autoZero"/>
        <c:auto val="1"/>
        <c:lblAlgn val="ctr"/>
        <c:lblOffset val="100"/>
        <c:noMultiLvlLbl val="0"/>
      </c:catAx>
      <c:valAx>
        <c:axId val="156403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81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Inventory Value by Branch (₦) - 2024</a:t>
            </a:r>
          </a:p>
        </c:rich>
      </c:tx>
      <c:layout>
        <c:manualLayout>
          <c:xMode val="edge"/>
          <c:yMode val="edge"/>
          <c:x val="0.1442077487725023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DASHBOARD!$F$2</c:f>
              <c:strCache>
                <c:ptCount val="1"/>
                <c:pt idx="0">
                  <c:v>Total Inventory Value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DASHBOARD!$E$3:$E$7</c:f>
              <c:strCache>
                <c:ptCount val="5"/>
                <c:pt idx="0">
                  <c:v>Ikeja Branch</c:v>
                </c:pt>
                <c:pt idx="1">
                  <c:v>Lekki Branch</c:v>
                </c:pt>
                <c:pt idx="2">
                  <c:v>Yaba Branch</c:v>
                </c:pt>
                <c:pt idx="3">
                  <c:v>Surulere Branch</c:v>
                </c:pt>
                <c:pt idx="4">
                  <c:v>Abuja Branch</c:v>
                </c:pt>
              </c:strCache>
            </c:strRef>
          </c:cat>
          <c:val>
            <c:numRef>
              <c:f>DASHBOARD!$F$3:$F$7</c:f>
              <c:numCache>
                <c:formatCode>General</c:formatCode>
                <c:ptCount val="5"/>
                <c:pt idx="0">
                  <c:v>137891944</c:v>
                </c:pt>
                <c:pt idx="1">
                  <c:v>184410011</c:v>
                </c:pt>
                <c:pt idx="2">
                  <c:v>175491834</c:v>
                </c:pt>
                <c:pt idx="3">
                  <c:v>160750365</c:v>
                </c:pt>
                <c:pt idx="4">
                  <c:v>150745195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7-4EB1-8125-3322C0FA3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77330064"/>
        <c:axId val="1804128528"/>
      </c:barChart>
      <c:catAx>
        <c:axId val="177733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128528"/>
        <c:crosses val="autoZero"/>
        <c:auto val="1"/>
        <c:lblAlgn val="ctr"/>
        <c:lblOffset val="100"/>
        <c:noMultiLvlLbl val="0"/>
      </c:catAx>
      <c:valAx>
        <c:axId val="180412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3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552451</xdr:colOff>
      <xdr:row>2</xdr:row>
      <xdr:rowOff>114299</xdr:rowOff>
    </xdr:from>
    <xdr:to>
      <xdr:col>16</xdr:col>
      <xdr:colOff>309213</xdr:colOff>
      <xdr:row>20</xdr:row>
      <xdr:rowOff>50130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4FD99C-8F3F-DFD8-3D47-FCF750E76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238627</xdr:colOff>
      <xdr:row>2</xdr:row>
      <xdr:rowOff>90238</xdr:rowOff>
    </xdr:from>
    <xdr:to>
      <xdr:col>25</xdr:col>
      <xdr:colOff>228600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52BD9-BF93-8153-3729-3995F828C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" refreshedDate="46211.538291319448" createdVersion="8" refreshedVersion="8" minRefreshableVersion="3" recordCount="150" xr:uid="{20095682-BD48-4F7D-A21E-EE222BC4AC26}">
  <cacheSource type="worksheet">
    <worksheetSource ref="A1:Z151" sheet="CLEANED PHARMACY data"/>
  </cacheSource>
  <cacheFields count="26">
    <cacheField name="Drug_ID" numFmtId="0">
      <sharedItems/>
    </cacheField>
    <cacheField name="Drug Name" numFmtId="0">
      <sharedItems/>
    </cacheField>
    <cacheField name="Category" numFmtId="0">
      <sharedItems count="15">
        <s v="Supplement"/>
        <s v="Ophthalmic"/>
        <s v="Antibiotic"/>
        <s v="Antilipid"/>
        <s v="Antihypertensive"/>
        <s v="Antimalarial"/>
        <s v="Antidiabetic"/>
        <s v="Anti-inflammatory"/>
        <s v="Electrolyte"/>
        <s v="Respiratory"/>
        <s v="Antifungal"/>
        <s v="Analgesic"/>
        <s v="Corticosteroid"/>
        <s v="Antacid"/>
        <s v="Antihistamine"/>
      </sharedItems>
    </cacheField>
    <cacheField name="Supplier" numFmtId="0">
      <sharedItems/>
    </cacheField>
    <cacheField name="Unit Price (₦)" numFmtId="0">
      <sharedItems containsString="0" containsBlank="1" containsNumber="1" containsInteger="1" minValue="175" maxValue="44975"/>
    </cacheField>
    <cacheField name="Stock Quantity" numFmtId="0">
      <sharedItems containsString="0" containsBlank="1" containsNumber="1" containsInteger="1" minValue="1" maxValue="497"/>
    </cacheField>
    <cacheField name="Reorder Level" numFmtId="0">
      <sharedItems containsSemiMixedTypes="0" containsString="0" containsNumber="1" containsInteger="1" minValue="21" maxValue="80"/>
    </cacheField>
    <cacheField name="Date Received" numFmtId="164">
      <sharedItems containsSemiMixedTypes="0" containsNonDate="0" containsDate="1" containsString="0" minDate="2024-01-01T00:00:00" maxDate="2024-10-23T00:00:00"/>
    </cacheField>
    <cacheField name="Expiry Date" numFmtId="164">
      <sharedItems containsSemiMixedTypes="0" containsNonDate="0" containsDate="1" containsString="0" minDate="2024-01-14T00:00:00" maxDate="2027-01-01T00:00:00"/>
    </cacheField>
    <cacheField name="Monthly Demand" numFmtId="0">
      <sharedItems containsSemiMixedTypes="0" containsString="0" containsNumber="1" containsInteger="1" minValue="11" maxValue="199"/>
    </cacheField>
    <cacheField name="Branch" numFmtId="0">
      <sharedItems count="5">
        <s v="Lekki Branch"/>
        <s v="Surulere Branch"/>
        <s v="Yaba Branch"/>
        <s v="Ikeja Branch"/>
        <s v="Abuja Branch"/>
      </sharedItems>
    </cacheField>
    <cacheField name="Dispensed This Month" numFmtId="0">
      <sharedItems containsSemiMixedTypes="0" containsString="0" containsNumber="1" containsInteger="1" minValue="0" maxValue="160"/>
    </cacheField>
    <cacheField name="Stock Status" numFmtId="0">
      <sharedItems/>
    </cacheField>
    <cacheField name="Price Flag " numFmtId="0">
      <sharedItems/>
    </cacheField>
    <cacheField name="Quantity Flag" numFmtId="0">
      <sharedItems/>
    </cacheField>
    <cacheField name="Expiry Flag" numFmtId="0">
      <sharedItems/>
    </cacheField>
    <cacheField name="Days Until Expiry" numFmtId="1">
      <sharedItems containsSemiMixedTypes="0" containsString="0" containsNumber="1" containsInteger="1" minValue="-906" maxValue="176"/>
    </cacheField>
    <cacheField name="Expiry Risk" numFmtId="0">
      <sharedItems/>
    </cacheField>
    <cacheField name="Stock Coverage (Months)" numFmtId="2">
      <sharedItems containsSemiMixedTypes="0" containsString="0" containsNumber="1" minValue="0" maxValue="32.142857142857146"/>
    </cacheField>
    <cacheField name="Inventory Value" numFmtId="0">
      <sharedItems containsSemiMixedTypes="0" containsString="0" containsNumber="1" containsInteger="1" minValue="0" maxValue="21228200"/>
    </cacheField>
    <cacheField name="Drug Category List" numFmtId="0">
      <sharedItems containsBlank="1"/>
    </cacheField>
    <cacheField name="Drug Count" numFmtId="0">
      <sharedItems containsString="0" containsBlank="1" containsNumber="1" containsInteger="1" minValue="5" maxValue="150"/>
    </cacheField>
    <cacheField name="Avg Unit Price (₦)" numFmtId="3">
      <sharedItems containsString="0" containsBlank="1" containsNumber="1" minValue="15680.6" maxValue="31329.4"/>
    </cacheField>
    <cacheField name="Branch2" numFmtId="0">
      <sharedItems containsBlank="1"/>
    </cacheField>
    <cacheField name="Total Inventory Value" numFmtId="0">
      <sharedItems containsString="0" containsBlank="1" containsNumber="1" containsInteger="1" minValue="137891944" maxValue="809289349"/>
    </cacheField>
    <cacheField name="Restock Need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DRG0044"/>
    <s v="Folic Acid 5mg"/>
    <x v="0"/>
    <s v="GlobalMed Nigeria"/>
    <n v="28477"/>
    <n v="394"/>
    <n v="27"/>
    <d v="2024-09-08T00:00:00"/>
    <d v="2025-09-01T00:00:00"/>
    <n v="49"/>
    <x v="0"/>
    <n v="39"/>
    <s v="In Stock"/>
    <s v="Recorded"/>
    <s v="Recorded"/>
    <s v="Expired"/>
    <n v="-310"/>
    <s v="Expired"/>
    <n v="8.0408163265306118"/>
    <n v="11219938"/>
    <s v="Analgesic"/>
    <n v="10"/>
    <n v="26224.3"/>
    <s v="Ikeja Branch"/>
    <n v="137891944"/>
    <s v="No"/>
  </r>
  <r>
    <s v="DRG0118"/>
    <s v="Gentamicin Eye Drops"/>
    <x v="1"/>
    <s v="NovaDrugs Abuja"/>
    <n v="29850"/>
    <n v="267"/>
    <n v="67"/>
    <d v="2024-09-27T00:00:00"/>
    <d v="2025-10-16T00:00:00"/>
    <n v="152"/>
    <x v="1"/>
    <n v="36"/>
    <s v="Low Stock"/>
    <s v="Recorded"/>
    <s v="Recorded"/>
    <s v="Expired"/>
    <n v="-265"/>
    <s v="Expired"/>
    <n v="1.756578947368421"/>
    <n v="7969950"/>
    <s v="Antacid"/>
    <n v="5"/>
    <n v="31329.4"/>
    <s v="Lekki Branch"/>
    <n v="184410011"/>
    <s v="No"/>
  </r>
  <r>
    <s v="DRG0068"/>
    <s v="Metronidazole 400mg"/>
    <x v="2"/>
    <s v="NovaDrugs Abuja"/>
    <n v="34181"/>
    <n v="323"/>
    <n v="38"/>
    <d v="2024-01-06T00:00:00"/>
    <d v="2024-02-19T00:00:00"/>
    <n v="76"/>
    <x v="2"/>
    <n v="8"/>
    <s v="Expired"/>
    <s v="Recorded"/>
    <s v="Recorded"/>
    <s v="Expired"/>
    <n v="-870"/>
    <s v="Expired"/>
    <n v="4.25"/>
    <n v="11040463"/>
    <s v="Antibiotic"/>
    <n v="35"/>
    <n v="23169.057142857142"/>
    <s v="Yaba Branch"/>
    <n v="175491834"/>
    <s v="No"/>
  </r>
  <r>
    <s v="DRG0047"/>
    <s v="Doxycycline 100mg"/>
    <x v="2"/>
    <s v="GlobalMed Nigeria"/>
    <n v="12498"/>
    <n v="13"/>
    <n v="35"/>
    <d v="2024-08-10T00:00:00"/>
    <d v="2024-03-11T00:00:00"/>
    <n v="118"/>
    <x v="0"/>
    <n v="2"/>
    <s v="Low Stock"/>
    <s v="Recorded"/>
    <s v="Recorded"/>
    <s v="Expired"/>
    <n v="-849"/>
    <s v="Expired"/>
    <n v="0.11016949152542373"/>
    <n v="162474"/>
    <s v="Antihypertensive"/>
    <n v="20"/>
    <n v="27576"/>
    <s v="Surulere Branch"/>
    <n v="160750365"/>
    <s v="Yes"/>
  </r>
  <r>
    <s v="DRG0009"/>
    <s v="Atorvastatin 20mg"/>
    <x v="3"/>
    <s v="GlobalMed Nigeria"/>
    <n v="15725"/>
    <n v="370"/>
    <n v="51"/>
    <d v="2024-04-18T00:00:00"/>
    <d v="2025-03-15T00:00:00"/>
    <n v="158"/>
    <x v="3"/>
    <n v="151"/>
    <s v="Expired"/>
    <s v="Recorded"/>
    <s v="Recorded"/>
    <s v="Expired"/>
    <n v="-480"/>
    <s v="Expired"/>
    <n v="2.3417721518987342"/>
    <n v="5818250"/>
    <s v="Supplement"/>
    <n v="20"/>
    <n v="25894.78947368421"/>
    <s v="Abuja Branch"/>
    <n v="150745195"/>
    <s v="No"/>
  </r>
  <r>
    <s v="DRG0048"/>
    <s v="Hydrochlorothiazide 25mg"/>
    <x v="4"/>
    <s v="NovaDrugs Abuja"/>
    <n v="40511"/>
    <n v="81"/>
    <n v="48"/>
    <d v="2024-04-15T00:00:00"/>
    <d v="2026-09-04T00:00:00"/>
    <n v="110"/>
    <x v="0"/>
    <n v="7"/>
    <s v="In Stock"/>
    <s v="Recorded"/>
    <s v="Recorded"/>
    <s v="Active"/>
    <n v="58"/>
    <s v="Expiring Soon"/>
    <n v="0.73636363636363633"/>
    <n v="3281391"/>
    <s v="Antilipid"/>
    <n v="5"/>
    <n v="24550.2"/>
    <m/>
    <n v="809289349"/>
    <s v="No"/>
  </r>
  <r>
    <s v="DRG0111"/>
    <s v="Ceftriaxone 1g"/>
    <x v="2"/>
    <s v="PharmaCare NG"/>
    <n v="30717"/>
    <n v="492"/>
    <n v="57"/>
    <d v="2024-09-05T00:00:00"/>
    <d v="2026-09-13T00:00:00"/>
    <n v="179"/>
    <x v="1"/>
    <n v="4"/>
    <s v="In Stock"/>
    <s v="Recorded"/>
    <s v="Recorded"/>
    <s v="Active"/>
    <n v="67"/>
    <s v="Expiring Soon"/>
    <n v="2.7486033519553073"/>
    <n v="15112764"/>
    <s v="Respiratory"/>
    <n v="5"/>
    <n v="28888.2"/>
    <m/>
    <m/>
    <s v="No"/>
  </r>
  <r>
    <s v="DRG0034"/>
    <s v="Artemether/Lumefantrine"/>
    <x v="5"/>
    <s v="PharmaCare NG"/>
    <n v="29491"/>
    <n v="199"/>
    <n v="46"/>
    <d v="2024-09-03T00:00:00"/>
    <d v="2025-04-03T00:00:00"/>
    <n v="30"/>
    <x v="0"/>
    <n v="8"/>
    <s v="In Stock"/>
    <s v="Recorded"/>
    <s v="Recorded"/>
    <s v="Expired"/>
    <n v="-461"/>
    <s v="Expired"/>
    <n v="6.6333333333333337"/>
    <n v="5868709"/>
    <s v="Antihistamine"/>
    <n v="5"/>
    <n v="20960.25"/>
    <m/>
    <m/>
    <s v="No"/>
  </r>
  <r>
    <s v="DRG0106"/>
    <s v="Insulin Glargine"/>
    <x v="6"/>
    <s v="MedSupply Lagos"/>
    <m/>
    <n v="269"/>
    <n v="71"/>
    <d v="2024-09-29T00:00:00"/>
    <d v="2025-02-12T00:00:00"/>
    <n v="82"/>
    <x v="1"/>
    <n v="6"/>
    <s v="In Stock"/>
    <s v="Missing"/>
    <s v="Recorded"/>
    <s v="Expired"/>
    <n v="-511"/>
    <s v="Expired"/>
    <n v="3.2804878048780486"/>
    <n v="0"/>
    <s v="Antimalarial"/>
    <n v="5"/>
    <n v="28818.799999999999"/>
    <m/>
    <m/>
    <s v="No"/>
  </r>
  <r>
    <s v="DRG0018"/>
    <s v="Hydrochlorothiazide 25mg"/>
    <x v="4"/>
    <s v="HealthBridge Ltd"/>
    <n v="35215"/>
    <n v="151"/>
    <n v="28"/>
    <d v="2024-01-26T00:00:00"/>
    <d v="2026-08-12T00:00:00"/>
    <n v="199"/>
    <x v="3"/>
    <n v="32"/>
    <s v="In Stock"/>
    <s v="Recorded"/>
    <s v="Recorded"/>
    <s v="Active"/>
    <n v="35"/>
    <s v="Expiring Soon"/>
    <n v="0.75879396984924619"/>
    <n v="5317465"/>
    <s v="Antidiabetic"/>
    <n v="10"/>
    <n v="21108.888888888891"/>
    <m/>
    <m/>
    <s v="No"/>
  </r>
  <r>
    <s v="DRG0081"/>
    <s v="Ceftriaxone 1g"/>
    <x v="2"/>
    <s v="NovaDrugs Abuja"/>
    <n v="39668"/>
    <n v="37"/>
    <n v="49"/>
    <d v="2024-01-19T00:00:00"/>
    <d v="2026-11-17T00:00:00"/>
    <n v="123"/>
    <x v="2"/>
    <n v="10"/>
    <s v="Low Stock"/>
    <s v="Recorded"/>
    <s v="Recorded"/>
    <s v="Active"/>
    <n v="132"/>
    <s v="OK"/>
    <n v="0.30081300813008133"/>
    <n v="1467716"/>
    <s v="Electrolyte"/>
    <n v="5"/>
    <n v="19879.599999999999"/>
    <m/>
    <m/>
    <s v="Yes"/>
  </r>
  <r>
    <s v="DRG0115"/>
    <s v="Cotrimoxazole 480mg"/>
    <x v="2"/>
    <s v="MedSupply Lagos"/>
    <n v="7566"/>
    <n v="169"/>
    <n v="24"/>
    <d v="2024-05-13T00:00:00"/>
    <d v="2024-05-23T00:00:00"/>
    <n v="132"/>
    <x v="1"/>
    <n v="31"/>
    <s v="Expired"/>
    <s v="Recorded"/>
    <s v="Recorded"/>
    <s v="Expired"/>
    <n v="-776"/>
    <s v="Expired"/>
    <n v="1.2803030303030303"/>
    <n v="1278654"/>
    <s v="Ophthalmic"/>
    <n v="5"/>
    <n v="28592"/>
    <m/>
    <m/>
    <s v="No"/>
  </r>
  <r>
    <s v="DRG0078"/>
    <s v="Hydrochlorothiazide 25mg"/>
    <x v="4"/>
    <s v="NovaDrugs Abuja"/>
    <m/>
    <n v="212"/>
    <n v="26"/>
    <d v="2024-01-11T00:00:00"/>
    <d v="2025-07-31T00:00:00"/>
    <n v="71"/>
    <x v="2"/>
    <n v="8"/>
    <s v="In Stock"/>
    <s v="Missing"/>
    <s v="Recorded"/>
    <s v="Expired"/>
    <n v="-342"/>
    <s v="Expired"/>
    <n v="2.9859154929577465"/>
    <n v="0"/>
    <s v="Corticosteroid"/>
    <n v="5"/>
    <n v="15680.6"/>
    <m/>
    <m/>
    <s v="No"/>
  </r>
  <r>
    <s v="DRG0067"/>
    <s v="Amlodipine 5mg"/>
    <x v="4"/>
    <s v="GlobalMed Nigeria"/>
    <n v="31607"/>
    <n v="105"/>
    <n v="21"/>
    <d v="2024-02-19T00:00:00"/>
    <d v="2025-07-22T00:00:00"/>
    <n v="24"/>
    <x v="2"/>
    <n v="7"/>
    <s v="In Stock"/>
    <s v="Recorded"/>
    <s v="Recorded"/>
    <s v="Expired"/>
    <n v="-351"/>
    <s v="Expired"/>
    <n v="4.375"/>
    <n v="3318735"/>
    <s v="Anti-inflammatory"/>
    <n v="10"/>
    <n v="24131.5"/>
    <m/>
    <m/>
    <s v="No"/>
  </r>
  <r>
    <s v="DRG0113"/>
    <s v="Ibuprofen 400mg"/>
    <x v="7"/>
    <s v="GlobalMed Nigeria"/>
    <n v="15002"/>
    <n v="497"/>
    <n v="76"/>
    <d v="2024-01-10T00:00:00"/>
    <d v="2025-08-21T00:00:00"/>
    <n v="42"/>
    <x v="1"/>
    <n v="13"/>
    <s v="In Stock"/>
    <s v="Recorded"/>
    <s v="Recorded"/>
    <s v="Expired"/>
    <n v="-321"/>
    <s v="Expired"/>
    <n v="11.833333333333334"/>
    <n v="7455994"/>
    <s v="Antifungal"/>
    <n v="5"/>
    <n v="25902"/>
    <m/>
    <m/>
    <s v="No"/>
  </r>
  <r>
    <s v="DRG0016"/>
    <s v="Insulin Glargine"/>
    <x v="6"/>
    <s v="HealthBridge Ltd"/>
    <n v="4167"/>
    <n v="148"/>
    <n v="53"/>
    <d v="2024-08-10T00:00:00"/>
    <d v="2025-07-01T00:00:00"/>
    <n v="23"/>
    <x v="3"/>
    <n v="3"/>
    <s v="In Stock"/>
    <s v="Recorded"/>
    <s v="Recorded"/>
    <s v="Expired"/>
    <n v="-372"/>
    <s v="Expired"/>
    <n v="6.4347826086956523"/>
    <n v="616716"/>
    <m/>
    <n v="150"/>
    <m/>
    <m/>
    <m/>
    <s v="No"/>
  </r>
  <r>
    <s v="DRG0059"/>
    <s v="Oral Rehydration Salt"/>
    <x v="8"/>
    <s v="NovaDrugs Abuja"/>
    <n v="17917"/>
    <n v="51"/>
    <n v="28"/>
    <d v="2024-01-19T00:00:00"/>
    <d v="2026-04-28T00:00:00"/>
    <n v="17"/>
    <x v="0"/>
    <n v="2"/>
    <s v="In Stock"/>
    <s v="Recorded"/>
    <s v="Recorded"/>
    <s v="Expired"/>
    <n v="-71"/>
    <s v="Expired"/>
    <n v="3"/>
    <n v="913767"/>
    <m/>
    <m/>
    <m/>
    <m/>
    <m/>
    <s v="No"/>
  </r>
  <r>
    <s v="DRG0026"/>
    <s v="Nifedipine 10mg"/>
    <x v="4"/>
    <s v="PharmaCare NG"/>
    <n v="37697"/>
    <n v="463"/>
    <n v="22"/>
    <d v="2024-09-03T00:00:00"/>
    <d v="2025-08-02T00:00:00"/>
    <n v="42"/>
    <x v="3"/>
    <n v="6"/>
    <s v="In Stock"/>
    <s v="Recorded"/>
    <s v="Recorded"/>
    <s v="Expired"/>
    <n v="-340"/>
    <s v="Expired"/>
    <n v="11.023809523809524"/>
    <n v="17453711"/>
    <m/>
    <m/>
    <m/>
    <m/>
    <m/>
    <s v="No"/>
  </r>
  <r>
    <s v="DRG0084"/>
    <s v="Ferrous Sulphate 200mg"/>
    <x v="0"/>
    <s v="PharmaCare NG"/>
    <n v="31598"/>
    <n v="208"/>
    <n v="52"/>
    <d v="2024-10-17T00:00:00"/>
    <d v="2026-01-05T00:00:00"/>
    <n v="81"/>
    <x v="2"/>
    <n v="39"/>
    <s v="Out of Stock"/>
    <s v="Recorded"/>
    <s v="Recorded"/>
    <s v="Expired"/>
    <n v="-184"/>
    <s v="Expired"/>
    <n v="2.5679012345679011"/>
    <n v="6572384"/>
    <m/>
    <m/>
    <m/>
    <m/>
    <m/>
    <s v="No"/>
  </r>
  <r>
    <s v="DRG0003"/>
    <s v="Lisinopril 10mg"/>
    <x v="4"/>
    <s v="HealthBridge Ltd"/>
    <n v="29711"/>
    <n v="381"/>
    <n v="47"/>
    <d v="2024-03-12T00:00:00"/>
    <d v="2025-10-20T00:00:00"/>
    <n v="101"/>
    <x v="3"/>
    <n v="29"/>
    <s v="In Stock"/>
    <s v="Recorded"/>
    <s v="Recorded"/>
    <s v="Expired"/>
    <n v="-261"/>
    <s v="Expired"/>
    <n v="3.7722772277227721"/>
    <n v="11319891"/>
    <m/>
    <m/>
    <m/>
    <m/>
    <m/>
    <s v="No"/>
  </r>
  <r>
    <s v="DRG0010"/>
    <s v="Salbutamol Inhaler"/>
    <x v="9"/>
    <s v="HealthBridge Ltd"/>
    <n v="12790"/>
    <n v="84"/>
    <n v="70"/>
    <d v="2024-10-11T00:00:00"/>
    <d v="2025-09-18T00:00:00"/>
    <n v="52"/>
    <x v="3"/>
    <n v="4"/>
    <s v="In Stock"/>
    <s v="Recorded"/>
    <s v="Recorded"/>
    <s v="Expired"/>
    <n v="-293"/>
    <s v="Expired"/>
    <n v="1.6153846153846154"/>
    <n v="1074360"/>
    <m/>
    <m/>
    <m/>
    <m/>
    <m/>
    <s v="No"/>
  </r>
  <r>
    <s v="DRG0074"/>
    <s v="Folic Acid 5mg"/>
    <x v="0"/>
    <s v="MedSupply Lagos"/>
    <n v="7191"/>
    <n v="334"/>
    <n v="33"/>
    <d v="2024-07-22T00:00:00"/>
    <d v="2026-06-30T00:00:00"/>
    <n v="36"/>
    <x v="2"/>
    <n v="13"/>
    <s v="Out of Stock"/>
    <s v="Recorded"/>
    <s v="Recorded"/>
    <s v="Expired"/>
    <n v="-8"/>
    <s v="Expired"/>
    <n v="9.2777777777777786"/>
    <n v="2401794"/>
    <m/>
    <m/>
    <m/>
    <m/>
    <m/>
    <s v="No"/>
  </r>
  <r>
    <s v="DRG0060"/>
    <s v="Multivitamin Syrup"/>
    <x v="0"/>
    <s v="PharmaCare NG"/>
    <m/>
    <n v="391"/>
    <n v="62"/>
    <d v="2024-03-31T00:00:00"/>
    <d v="2026-06-12T00:00:00"/>
    <n v="156"/>
    <x v="0"/>
    <n v="119"/>
    <s v="In Stock"/>
    <s v="Missing"/>
    <s v="Recorded"/>
    <s v="Expired"/>
    <n v="-26"/>
    <s v="Expired"/>
    <n v="2.5064102564102564"/>
    <n v="0"/>
    <m/>
    <m/>
    <m/>
    <m/>
    <m/>
    <s v="No"/>
  </r>
  <r>
    <s v="DRG0041"/>
    <s v="Fluconazole 150mg"/>
    <x v="10"/>
    <s v="NovaDrugs Abuja"/>
    <n v="15442"/>
    <n v="244"/>
    <n v="41"/>
    <d v="2024-07-05T00:00:00"/>
    <d v="2026-06-16T00:00:00"/>
    <n v="32"/>
    <x v="0"/>
    <n v="6"/>
    <s v="In Stock"/>
    <s v="Recorded"/>
    <s v="Recorded"/>
    <s v="Expired"/>
    <n v="-22"/>
    <s v="Expired"/>
    <n v="7.625"/>
    <n v="3767848"/>
    <m/>
    <m/>
    <m/>
    <m/>
    <m/>
    <s v="No"/>
  </r>
  <r>
    <s v="DRG0072"/>
    <s v="Ciprofloxacin 500mg"/>
    <x v="2"/>
    <s v="NovaDrugs Abuja"/>
    <n v="5094"/>
    <n v="187"/>
    <n v="56"/>
    <d v="2024-07-30T00:00:00"/>
    <d v="2025-10-25T00:00:00"/>
    <n v="85"/>
    <x v="2"/>
    <n v="48"/>
    <s v="In Stock"/>
    <s v="Recorded"/>
    <s v="Recorded"/>
    <s v="Expired"/>
    <n v="-256"/>
    <s v="Expired"/>
    <n v="2.2000000000000002"/>
    <n v="952578"/>
    <m/>
    <m/>
    <m/>
    <m/>
    <m/>
    <s v="No"/>
  </r>
  <r>
    <s v="DRG0079"/>
    <s v="Azithromycin 500mg"/>
    <x v="2"/>
    <s v="MedSupply Lagos"/>
    <n v="11416"/>
    <n v="104"/>
    <n v="49"/>
    <d v="2024-04-05T00:00:00"/>
    <d v="2026-01-05T00:00:00"/>
    <n v="37"/>
    <x v="2"/>
    <n v="34"/>
    <s v="In Stock"/>
    <s v="Recorded"/>
    <s v="Recorded"/>
    <s v="Expired"/>
    <n v="-184"/>
    <s v="Expired"/>
    <n v="2.810810810810811"/>
    <n v="1187264"/>
    <m/>
    <m/>
    <m/>
    <m/>
    <m/>
    <s v="No"/>
  </r>
  <r>
    <s v="DRG0101"/>
    <s v="Fluconazole 150mg"/>
    <x v="10"/>
    <s v="NovaDrugs Abuja"/>
    <n v="37253"/>
    <n v="61"/>
    <n v="58"/>
    <d v="2024-09-07T00:00:00"/>
    <d v="2024-01-26T00:00:00"/>
    <n v="144"/>
    <x v="1"/>
    <n v="70"/>
    <s v="Expired"/>
    <s v="Recorded"/>
    <s v="Recorded"/>
    <s v="Expired"/>
    <n v="-894"/>
    <s v="Expired"/>
    <n v="0.4236111111111111"/>
    <n v="2272433"/>
    <m/>
    <m/>
    <m/>
    <m/>
    <m/>
    <s v="No"/>
  </r>
  <r>
    <s v="DRG0014"/>
    <s v="Folic Acid 5mg"/>
    <x v="0"/>
    <s v="HealthBridge Ltd"/>
    <n v="27993"/>
    <m/>
    <n v="35"/>
    <d v="2024-07-01T00:00:00"/>
    <d v="2026-09-29T00:00:00"/>
    <n v="83"/>
    <x v="3"/>
    <n v="54"/>
    <s v="In Stock"/>
    <s v="Recorded"/>
    <s v="Missing"/>
    <s v="Active"/>
    <n v="83"/>
    <s v="Expiring Soon"/>
    <n v="0"/>
    <n v="0"/>
    <m/>
    <m/>
    <m/>
    <m/>
    <m/>
    <s v="Yes"/>
  </r>
  <r>
    <s v="DRG0119"/>
    <s v="Oral Rehydration Salt"/>
    <x v="8"/>
    <s v="PharmaCare NG"/>
    <n v="4582"/>
    <n v="89"/>
    <n v="52"/>
    <d v="2024-03-14T00:00:00"/>
    <d v="2025-11-28T00:00:00"/>
    <n v="165"/>
    <x v="1"/>
    <n v="33"/>
    <s v="In Stock"/>
    <s v="Recorded"/>
    <s v="Recorded"/>
    <s v="Expired"/>
    <n v="-222"/>
    <s v="Expired"/>
    <n v="0.53939393939393943"/>
    <n v="407798"/>
    <m/>
    <m/>
    <m/>
    <m/>
    <m/>
    <s v="No"/>
  </r>
  <r>
    <s v="DRG0124"/>
    <s v="Artemether/Lumefantrine"/>
    <x v="5"/>
    <s v="PharmaCare NG"/>
    <n v="12777"/>
    <n v="202"/>
    <n v="45"/>
    <d v="2024-03-27T00:00:00"/>
    <d v="2026-03-01T00:00:00"/>
    <n v="99"/>
    <x v="4"/>
    <n v="82"/>
    <s v="In Stock"/>
    <s v="Recorded"/>
    <s v="Recorded"/>
    <s v="Expired"/>
    <n v="-129"/>
    <s v="Expired"/>
    <n v="2.0404040404040402"/>
    <n v="2580954"/>
    <m/>
    <m/>
    <m/>
    <m/>
    <m/>
    <s v="No"/>
  </r>
  <r>
    <s v="DRG0121"/>
    <s v="Amoxicillin 500mg"/>
    <x v="2"/>
    <s v="HealthBridge Ltd"/>
    <n v="24778"/>
    <n v="161"/>
    <n v="52"/>
    <d v="2024-09-16T00:00:00"/>
    <d v="2026-12-29T00:00:00"/>
    <n v="34"/>
    <x v="4"/>
    <n v="29"/>
    <s v="In Stock"/>
    <s v="Recorded"/>
    <s v="Recorded"/>
    <s v="Active"/>
    <n v="174"/>
    <s v="OK"/>
    <n v="4.7352941176470589"/>
    <n v="3989258"/>
    <m/>
    <m/>
    <m/>
    <m/>
    <m/>
    <s v="No"/>
  </r>
  <r>
    <s v="DRG0108"/>
    <s v="Hydrochlorothiazide 25mg"/>
    <x v="4"/>
    <s v="NovaDrugs Abuja"/>
    <m/>
    <n v="279"/>
    <n v="23"/>
    <d v="2024-06-01T00:00:00"/>
    <d v="2025-09-13T00:00:00"/>
    <n v="137"/>
    <x v="1"/>
    <n v="0"/>
    <s v="In Stock"/>
    <s v="Missing"/>
    <s v="Recorded"/>
    <s v="Expired"/>
    <n v="-298"/>
    <s v="Expired"/>
    <n v="2.0364963503649633"/>
    <n v="0"/>
    <m/>
    <m/>
    <m/>
    <m/>
    <m/>
    <s v="No"/>
  </r>
  <r>
    <s v="DRG0123"/>
    <s v="Lisinopril 10mg"/>
    <x v="4"/>
    <s v="MedSupply Lagos"/>
    <n v="9138"/>
    <n v="87"/>
    <n v="63"/>
    <d v="2024-02-12T00:00:00"/>
    <d v="2024-01-14T00:00:00"/>
    <n v="111"/>
    <x v="4"/>
    <n v="73"/>
    <s v="Expired"/>
    <s v="Recorded"/>
    <s v="Recorded"/>
    <s v="Expired"/>
    <n v="-906"/>
    <s v="Expired"/>
    <n v="0.78378378378378377"/>
    <n v="795006"/>
    <m/>
    <m/>
    <m/>
    <m/>
    <m/>
    <s v="No"/>
  </r>
  <r>
    <s v="DRG0024"/>
    <s v="Ferrous Sulphate 200mg"/>
    <x v="0"/>
    <s v="PharmaCare NG"/>
    <n v="34643"/>
    <n v="14"/>
    <n v="54"/>
    <d v="2024-05-12T00:00:00"/>
    <d v="2025-09-19T00:00:00"/>
    <n v="73"/>
    <x v="3"/>
    <n v="23"/>
    <s v="Low Stock"/>
    <s v="Recorded"/>
    <s v="Recorded"/>
    <s v="Expired"/>
    <n v="-292"/>
    <s v="Expired"/>
    <n v="0.19178082191780821"/>
    <n v="485002"/>
    <m/>
    <m/>
    <m/>
    <m/>
    <m/>
    <s v="Yes"/>
  </r>
  <r>
    <s v="DRG0031"/>
    <s v="Amoxicillin 500mg"/>
    <x v="2"/>
    <s v="HealthBridge Ltd"/>
    <n v="38862"/>
    <n v="47"/>
    <n v="36"/>
    <d v="2024-03-09T00:00:00"/>
    <d v="2025-08-01T00:00:00"/>
    <n v="162"/>
    <x v="0"/>
    <n v="13"/>
    <s v="In Stock"/>
    <s v="Recorded"/>
    <s v="Recorded"/>
    <s v="Expired"/>
    <n v="-341"/>
    <s v="Expired"/>
    <n v="0.29012345679012347"/>
    <n v="1826514"/>
    <m/>
    <m/>
    <m/>
    <m/>
    <m/>
    <s v="No"/>
  </r>
  <r>
    <s v="DRG0138"/>
    <s v="Hydrochlorothiazide 25mg"/>
    <x v="4"/>
    <s v="HealthBridge Ltd"/>
    <m/>
    <n v="306"/>
    <n v="30"/>
    <d v="2024-03-11T00:00:00"/>
    <d v="2025-06-17T00:00:00"/>
    <n v="68"/>
    <x v="4"/>
    <n v="35"/>
    <s v="In Stock"/>
    <s v="Missing"/>
    <s v="Recorded"/>
    <s v="Expired"/>
    <n v="-386"/>
    <s v="Expired"/>
    <n v="4.5"/>
    <n v="0"/>
    <m/>
    <m/>
    <m/>
    <m/>
    <m/>
    <s v="No"/>
  </r>
  <r>
    <s v="DRG0144"/>
    <s v="Ferrous Sulphate 200mg"/>
    <x v="0"/>
    <s v="HealthBridge Ltd"/>
    <n v="28328"/>
    <n v="95"/>
    <n v="21"/>
    <d v="2024-01-31T00:00:00"/>
    <d v="2026-02-03T00:00:00"/>
    <n v="121"/>
    <x v="4"/>
    <n v="42"/>
    <s v="In Stock"/>
    <s v="Recorded"/>
    <s v="Recorded"/>
    <s v="Expired"/>
    <n v="-155"/>
    <s v="Expired"/>
    <n v="0.78512396694214881"/>
    <n v="2691160"/>
    <m/>
    <m/>
    <m/>
    <m/>
    <m/>
    <s v="No"/>
  </r>
  <r>
    <s v="DRG0109"/>
    <s v="Azithromycin 500mg"/>
    <x v="2"/>
    <s v="PharmaCare NG"/>
    <n v="42806"/>
    <n v="47"/>
    <n v="24"/>
    <d v="2024-05-09T00:00:00"/>
    <d v="2026-12-25T00:00:00"/>
    <n v="133"/>
    <x v="1"/>
    <n v="60"/>
    <s v="In Stock"/>
    <s v="Recorded"/>
    <s v="Recorded"/>
    <s v="Active"/>
    <n v="170"/>
    <s v="OK"/>
    <n v="0.35338345864661652"/>
    <n v="2011882"/>
    <m/>
    <m/>
    <m/>
    <m/>
    <m/>
    <s v="No"/>
  </r>
  <r>
    <s v="DRG0005"/>
    <s v="Paracetamol 500mg"/>
    <x v="11"/>
    <s v="NovaDrugs Abuja"/>
    <n v="36471"/>
    <n v="312"/>
    <n v="67"/>
    <d v="2024-03-10T00:00:00"/>
    <d v="2026-04-30T00:00:00"/>
    <n v="147"/>
    <x v="3"/>
    <n v="45"/>
    <s v="In Stock"/>
    <s v="Recorded"/>
    <s v="Recorded"/>
    <s v="Expired"/>
    <n v="-69"/>
    <s v="Expired"/>
    <n v="2.1224489795918369"/>
    <n v="11378952"/>
    <m/>
    <m/>
    <m/>
    <m/>
    <m/>
    <s v="No"/>
  </r>
  <r>
    <s v="DRG0128"/>
    <s v="Metronidazole 400mg"/>
    <x v="2"/>
    <s v="PharmaCare NG"/>
    <n v="4845"/>
    <n v="346"/>
    <n v="22"/>
    <d v="2024-06-06T00:00:00"/>
    <d v="2026-09-17T00:00:00"/>
    <n v="107"/>
    <x v="4"/>
    <n v="12"/>
    <s v="Low Stock"/>
    <s v="Recorded"/>
    <s v="Recorded"/>
    <s v="Active"/>
    <n v="71"/>
    <s v="Expiring Soon"/>
    <n v="3.2336448598130842"/>
    <n v="1676370"/>
    <m/>
    <m/>
    <m/>
    <m/>
    <m/>
    <s v="No"/>
  </r>
  <r>
    <s v="DRG0122"/>
    <s v="Metformin 500mg"/>
    <x v="6"/>
    <s v="NovaDrugs Abuja"/>
    <n v="44921"/>
    <n v="291"/>
    <n v="74"/>
    <d v="2024-08-12T00:00:00"/>
    <d v="2025-02-06T00:00:00"/>
    <n v="163"/>
    <x v="4"/>
    <n v="159"/>
    <s v="Expired"/>
    <s v="Recorded"/>
    <s v="Recorded"/>
    <s v="Expired"/>
    <n v="-517"/>
    <s v="Expired"/>
    <n v="1.7852760736196318"/>
    <n v="13072011"/>
    <m/>
    <m/>
    <m/>
    <m/>
    <m/>
    <s v="No"/>
  </r>
  <r>
    <s v="DRG0091"/>
    <s v="Amoxicillin 500mg"/>
    <x v="2"/>
    <s v="NovaDrugs Abuja"/>
    <n v="6602"/>
    <n v="241"/>
    <n v="61"/>
    <d v="2024-06-25T00:00:00"/>
    <d v="2026-09-27T00:00:00"/>
    <n v="16"/>
    <x v="1"/>
    <n v="4"/>
    <s v="In Stock"/>
    <s v="Recorded"/>
    <s v="Recorded"/>
    <s v="Active"/>
    <n v="81"/>
    <s v="Expiring Soon"/>
    <n v="15.0625"/>
    <n v="1591082"/>
    <m/>
    <m/>
    <m/>
    <m/>
    <m/>
    <s v="No"/>
  </r>
  <r>
    <s v="DRG0076"/>
    <s v="Insulin Glargine"/>
    <x v="6"/>
    <s v="HealthBridge Ltd"/>
    <n v="12044"/>
    <n v="191"/>
    <n v="63"/>
    <d v="2024-05-27T00:00:00"/>
    <d v="2025-10-26T00:00:00"/>
    <n v="56"/>
    <x v="2"/>
    <n v="2"/>
    <s v="In Stock"/>
    <s v="Recorded"/>
    <s v="Recorded"/>
    <s v="Expired"/>
    <n v="-255"/>
    <s v="Expired"/>
    <n v="3.4107142857142856"/>
    <n v="2300404"/>
    <m/>
    <m/>
    <m/>
    <m/>
    <m/>
    <s v="No"/>
  </r>
  <r>
    <s v="DRG0011"/>
    <s v="Fluconazole 150mg"/>
    <x v="10"/>
    <s v="PharmaCare NG"/>
    <n v="28959"/>
    <n v="422"/>
    <n v="41"/>
    <d v="2024-02-17T00:00:00"/>
    <d v="2025-06-09T00:00:00"/>
    <n v="89"/>
    <x v="3"/>
    <n v="15"/>
    <s v="In Stock"/>
    <s v="Recorded"/>
    <s v="Recorded"/>
    <s v="Expired"/>
    <n v="-394"/>
    <s v="Expired"/>
    <n v="4.7415730337078648"/>
    <n v="12220698"/>
    <m/>
    <m/>
    <m/>
    <m/>
    <m/>
    <s v="No"/>
  </r>
  <r>
    <s v="DRG0073"/>
    <s v="Diclofenac 50mg"/>
    <x v="7"/>
    <s v="PharmaCare NG"/>
    <n v="23291"/>
    <n v="335"/>
    <n v="73"/>
    <d v="2024-01-07T00:00:00"/>
    <d v="2026-01-30T00:00:00"/>
    <n v="116"/>
    <x v="2"/>
    <n v="74"/>
    <s v="In Stock"/>
    <s v="Recorded"/>
    <s v="Recorded"/>
    <s v="Expired"/>
    <n v="-159"/>
    <s v="Expired"/>
    <n v="2.8879310344827585"/>
    <n v="7802485"/>
    <m/>
    <m/>
    <m/>
    <m/>
    <m/>
    <s v="No"/>
  </r>
  <r>
    <s v="DRG0022"/>
    <s v="Prednisolone 5mg"/>
    <x v="12"/>
    <s v="PharmaCare NG"/>
    <n v="7172"/>
    <n v="268"/>
    <n v="65"/>
    <d v="2024-05-18T00:00:00"/>
    <d v="2026-01-07T00:00:00"/>
    <n v="170"/>
    <x v="3"/>
    <n v="108"/>
    <s v="In Stock"/>
    <s v="Recorded"/>
    <s v="Recorded"/>
    <s v="Expired"/>
    <n v="-182"/>
    <s v="Expired"/>
    <n v="1.5764705882352941"/>
    <n v="1922096"/>
    <m/>
    <m/>
    <m/>
    <m/>
    <m/>
    <s v="No"/>
  </r>
  <r>
    <s v="DRG0019"/>
    <s v="Azithromycin 500mg"/>
    <x v="2"/>
    <s v="MedSupply Lagos"/>
    <n v="6027"/>
    <n v="245"/>
    <n v="79"/>
    <d v="2024-07-09T00:00:00"/>
    <d v="2024-03-09T00:00:00"/>
    <n v="64"/>
    <x v="3"/>
    <n v="6"/>
    <s v="Expired"/>
    <s v="Recorded"/>
    <s v="Recorded"/>
    <s v="Expired"/>
    <n v="-851"/>
    <s v="Expired"/>
    <n v="3.828125"/>
    <n v="1476615"/>
    <m/>
    <m/>
    <m/>
    <m/>
    <m/>
    <s v="No"/>
  </r>
  <r>
    <s v="DRG0082"/>
    <s v="Prednisolone 5mg"/>
    <x v="12"/>
    <s v="GlobalMed Nigeria"/>
    <n v="17171"/>
    <n v="446"/>
    <n v="49"/>
    <d v="2024-09-27T00:00:00"/>
    <d v="2025-12-21T00:00:00"/>
    <n v="78"/>
    <x v="2"/>
    <n v="48"/>
    <s v="In Stock"/>
    <s v="Recorded"/>
    <s v="Recorded"/>
    <s v="Expired"/>
    <n v="-199"/>
    <s v="Expired"/>
    <n v="5.7179487179487181"/>
    <n v="7658266"/>
    <m/>
    <m/>
    <m/>
    <m/>
    <m/>
    <s v="No"/>
  </r>
  <r>
    <s v="DRG0139"/>
    <s v="Azithromycin 500mg"/>
    <x v="2"/>
    <s v="HealthBridge Ltd"/>
    <n v="18449"/>
    <n v="10"/>
    <n v="69"/>
    <d v="2024-07-29T00:00:00"/>
    <d v="2025-09-01T00:00:00"/>
    <n v="104"/>
    <x v="4"/>
    <n v="21"/>
    <s v="Low Stock"/>
    <s v="Recorded"/>
    <s v="Recorded"/>
    <s v="Expired"/>
    <n v="-310"/>
    <s v="Expired"/>
    <n v="9.6153846153846159E-2"/>
    <n v="184490"/>
    <m/>
    <m/>
    <m/>
    <m/>
    <m/>
    <s v="Yes"/>
  </r>
  <r>
    <s v="DRG0069"/>
    <s v="Atorvastatin 20mg"/>
    <x v="3"/>
    <s v="NovaDrugs Abuja"/>
    <n v="25957"/>
    <n v="226"/>
    <n v="72"/>
    <d v="2024-05-30T00:00:00"/>
    <d v="2025-10-19T00:00:00"/>
    <n v="26"/>
    <x v="2"/>
    <n v="22"/>
    <s v="In Stock"/>
    <s v="Recorded"/>
    <s v="Recorded"/>
    <s v="Expired"/>
    <n v="-262"/>
    <s v="Expired"/>
    <n v="8.6923076923076916"/>
    <n v="5866282"/>
    <m/>
    <m/>
    <m/>
    <m/>
    <m/>
    <s v="No"/>
  </r>
  <r>
    <s v="DRG0112"/>
    <s v="Prednisolone 5mg"/>
    <x v="12"/>
    <s v="NovaDrugs Abuja"/>
    <n v="19611"/>
    <n v="118"/>
    <n v="70"/>
    <d v="2024-05-23T00:00:00"/>
    <d v="2025-03-16T00:00:00"/>
    <n v="82"/>
    <x v="1"/>
    <n v="58"/>
    <s v="In Stock"/>
    <s v="Recorded"/>
    <s v="Recorded"/>
    <s v="Expired"/>
    <n v="-479"/>
    <s v="Expired"/>
    <n v="1.4390243902439024"/>
    <n v="2314098"/>
    <m/>
    <m/>
    <m/>
    <m/>
    <m/>
    <s v="No"/>
  </r>
  <r>
    <s v="DRG0004"/>
    <s v="Artemether/Lumefantrine"/>
    <x v="5"/>
    <s v="NovaDrugs Abuja"/>
    <n v="44106"/>
    <n v="186"/>
    <n v="76"/>
    <d v="2024-08-08T00:00:00"/>
    <d v="2026-12-02T00:00:00"/>
    <n v="40"/>
    <x v="3"/>
    <n v="22"/>
    <s v="In Stock"/>
    <s v="Recorded"/>
    <s v="Recorded"/>
    <s v="Active"/>
    <n v="147"/>
    <s v="OK"/>
    <n v="4.6500000000000004"/>
    <n v="8203716"/>
    <m/>
    <m/>
    <m/>
    <m/>
    <m/>
    <s v="No"/>
  </r>
  <r>
    <s v="DRG0012"/>
    <s v="Ciprofloxacin 500mg"/>
    <x v="2"/>
    <s v="PharmaCare NG"/>
    <n v="30944"/>
    <n v="267"/>
    <n v="43"/>
    <d v="2024-01-19T00:00:00"/>
    <d v="2024-03-27T00:00:00"/>
    <n v="49"/>
    <x v="3"/>
    <n v="31"/>
    <s v="Expired"/>
    <s v="Recorded"/>
    <s v="Recorded"/>
    <s v="Expired"/>
    <n v="-833"/>
    <s v="Expired"/>
    <n v="5.4489795918367347"/>
    <n v="8262048"/>
    <m/>
    <m/>
    <m/>
    <m/>
    <m/>
    <s v="No"/>
  </r>
  <r>
    <s v="DRG0043"/>
    <s v="Diclofenac 50mg"/>
    <x v="7"/>
    <s v="HealthBridge Ltd"/>
    <n v="21675"/>
    <n v="384"/>
    <n v="42"/>
    <d v="2024-04-08T00:00:00"/>
    <d v="2025-07-13T00:00:00"/>
    <n v="154"/>
    <x v="0"/>
    <n v="43"/>
    <s v="In Stock"/>
    <s v="Recorded"/>
    <s v="Recorded"/>
    <s v="Expired"/>
    <n v="-360"/>
    <s v="Expired"/>
    <n v="2.4935064935064934"/>
    <n v="8323200"/>
    <m/>
    <m/>
    <m/>
    <m/>
    <m/>
    <s v="No"/>
  </r>
  <r>
    <s v="DRG0035"/>
    <s v="Paracetamol 500mg"/>
    <x v="11"/>
    <s v="HealthBridge Ltd"/>
    <n v="34944"/>
    <n v="106"/>
    <n v="47"/>
    <d v="2024-10-14T00:00:00"/>
    <d v="2025-08-27T00:00:00"/>
    <n v="171"/>
    <x v="0"/>
    <n v="124"/>
    <s v="In Stock"/>
    <s v="Recorded"/>
    <s v="Recorded"/>
    <s v="Expired"/>
    <n v="-315"/>
    <s v="Expired"/>
    <n v="0.61988304093567248"/>
    <n v="3704064"/>
    <m/>
    <m/>
    <m/>
    <m/>
    <m/>
    <s v="No"/>
  </r>
  <r>
    <s v="DRG0066"/>
    <s v="Omeprazole 20mg"/>
    <x v="13"/>
    <s v="NovaDrugs Abuja"/>
    <n v="8903"/>
    <n v="349"/>
    <n v="47"/>
    <d v="2024-01-26T00:00:00"/>
    <d v="2025-07-20T00:00:00"/>
    <n v="103"/>
    <x v="2"/>
    <n v="98"/>
    <s v="In Stock"/>
    <s v="Recorded"/>
    <s v="Recorded"/>
    <s v="Expired"/>
    <n v="-353"/>
    <s v="Expired"/>
    <n v="3.3883495145631066"/>
    <n v="3107147"/>
    <m/>
    <m/>
    <m/>
    <m/>
    <m/>
    <s v="No"/>
  </r>
  <r>
    <s v="DRG0064"/>
    <s v="Artemether/Lumefantrine"/>
    <x v="5"/>
    <s v="PharmaCare NG"/>
    <n v="28098"/>
    <n v="266"/>
    <n v="24"/>
    <d v="2024-08-30T00:00:00"/>
    <d v="2025-09-03T00:00:00"/>
    <n v="174"/>
    <x v="2"/>
    <n v="31"/>
    <s v="In Stock"/>
    <s v="Recorded"/>
    <s v="Recorded"/>
    <s v="Expired"/>
    <n v="-308"/>
    <s v="Expired"/>
    <n v="1.5287356321839081"/>
    <n v="7474068"/>
    <m/>
    <m/>
    <m/>
    <m/>
    <m/>
    <s v="No"/>
  </r>
  <r>
    <s v="DRG0087"/>
    <s v="Loratadine 10mg"/>
    <x v="14"/>
    <s v="HealthBridge Ltd"/>
    <n v="25642"/>
    <n v="119"/>
    <n v="76"/>
    <d v="2024-01-19T00:00:00"/>
    <d v="2026-06-12T00:00:00"/>
    <n v="80"/>
    <x v="2"/>
    <n v="61"/>
    <s v="In Stock"/>
    <s v="Recorded"/>
    <s v="Recorded"/>
    <s v="Expired"/>
    <n v="-26"/>
    <s v="Expired"/>
    <n v="1.4875"/>
    <n v="3051398"/>
    <m/>
    <m/>
    <m/>
    <m/>
    <m/>
    <s v="No"/>
  </r>
  <r>
    <s v="DRG0148"/>
    <s v="Gentamicin Eye Drops"/>
    <x v="1"/>
    <s v="HealthBridge Ltd"/>
    <n v="22119"/>
    <n v="115"/>
    <n v="45"/>
    <d v="2024-07-29T00:00:00"/>
    <d v="2026-05-10T00:00:00"/>
    <n v="155"/>
    <x v="4"/>
    <n v="74"/>
    <s v="In Stock"/>
    <s v="Recorded"/>
    <s v="Recorded"/>
    <s v="Expired"/>
    <n v="-59"/>
    <s v="Expired"/>
    <n v="0.74193548387096775"/>
    <n v="2543685"/>
    <m/>
    <m/>
    <m/>
    <m/>
    <m/>
    <s v="No"/>
  </r>
  <r>
    <s v="DRG0023"/>
    <s v="Ibuprofen 400mg"/>
    <x v="7"/>
    <s v="HealthBridge Ltd"/>
    <n v="2823"/>
    <n v="56"/>
    <n v="26"/>
    <d v="2024-06-06T00:00:00"/>
    <d v="2026-03-03T00:00:00"/>
    <n v="130"/>
    <x v="3"/>
    <n v="49"/>
    <s v="In Stock"/>
    <s v="Recorded"/>
    <s v="Recorded"/>
    <s v="Expired"/>
    <n v="-127"/>
    <s v="Expired"/>
    <n v="0.43076923076923079"/>
    <n v="158088"/>
    <m/>
    <m/>
    <m/>
    <m/>
    <m/>
    <s v="No"/>
  </r>
  <r>
    <s v="DRG0051"/>
    <s v="Ceftriaxone 1g"/>
    <x v="2"/>
    <s v="GlobalMed Nigeria"/>
    <n v="1022"/>
    <n v="30"/>
    <n v="65"/>
    <d v="2024-09-07T00:00:00"/>
    <d v="2025-10-03T00:00:00"/>
    <n v="195"/>
    <x v="0"/>
    <n v="7"/>
    <s v="Expired"/>
    <s v="Recorded"/>
    <s v="Recorded"/>
    <s v="Expired"/>
    <n v="-278"/>
    <s v="Expired"/>
    <n v="0.15384615384615385"/>
    <n v="30660"/>
    <m/>
    <m/>
    <m/>
    <m/>
    <m/>
    <s v="Yes"/>
  </r>
  <r>
    <s v="DRG0063"/>
    <s v="Lisinopril 10mg"/>
    <x v="4"/>
    <s v="MedSupply Lagos"/>
    <n v="32712"/>
    <n v="99"/>
    <n v="26"/>
    <d v="2024-10-22T00:00:00"/>
    <d v="2025-12-06T00:00:00"/>
    <n v="21"/>
    <x v="2"/>
    <n v="2"/>
    <s v="In Stock"/>
    <s v="Recorded"/>
    <s v="Recorded"/>
    <s v="Expired"/>
    <n v="-214"/>
    <s v="Expired"/>
    <n v="4.7142857142857144"/>
    <n v="3238488"/>
    <m/>
    <m/>
    <m/>
    <m/>
    <m/>
    <s v="No"/>
  </r>
  <r>
    <s v="DRG0036"/>
    <s v="Omeprazole 20mg"/>
    <x v="13"/>
    <s v="PharmaCare NG"/>
    <n v="36494"/>
    <n v="197"/>
    <n v="60"/>
    <d v="2024-04-18T00:00:00"/>
    <d v="2025-02-16T00:00:00"/>
    <n v="50"/>
    <x v="0"/>
    <n v="44"/>
    <s v="In Stock"/>
    <s v="Recorded"/>
    <s v="Recorded"/>
    <s v="Expired"/>
    <n v="-507"/>
    <s v="Expired"/>
    <n v="3.94"/>
    <n v="7189318"/>
    <m/>
    <m/>
    <m/>
    <m/>
    <m/>
    <s v="No"/>
  </r>
  <r>
    <s v="DRG0058"/>
    <s v="Gentamicin Eye Drops"/>
    <x v="1"/>
    <s v="GlobalMed Nigeria"/>
    <n v="35406"/>
    <m/>
    <n v="71"/>
    <d v="2024-01-01T00:00:00"/>
    <d v="2026-09-17T00:00:00"/>
    <n v="42"/>
    <x v="0"/>
    <n v="27"/>
    <s v="In Stock"/>
    <s v="Recorded"/>
    <s v="Missing"/>
    <s v="Active"/>
    <n v="71"/>
    <s v="Expiring Soon"/>
    <n v="0"/>
    <n v="0"/>
    <m/>
    <m/>
    <m/>
    <m/>
    <m/>
    <s v="Yes"/>
  </r>
  <r>
    <s v="DRG0083"/>
    <s v="Ibuprofen 400mg"/>
    <x v="7"/>
    <s v="PharmaCare NG"/>
    <n v="32273"/>
    <n v="106"/>
    <n v="72"/>
    <d v="2024-08-05T00:00:00"/>
    <d v="2026-08-04T00:00:00"/>
    <n v="84"/>
    <x v="2"/>
    <n v="44"/>
    <s v="In Stock"/>
    <s v="Recorded"/>
    <s v="Recorded"/>
    <s v="Active"/>
    <n v="27"/>
    <s v="Expiring Soon"/>
    <n v="1.2619047619047619"/>
    <n v="3420938"/>
    <m/>
    <m/>
    <m/>
    <m/>
    <m/>
    <s v="No"/>
  </r>
  <r>
    <s v="DRG0104"/>
    <s v="Folic Acid 5mg"/>
    <x v="0"/>
    <s v="NovaDrugs Abuja"/>
    <n v="14223"/>
    <n v="65"/>
    <n v="31"/>
    <d v="2024-10-22T00:00:00"/>
    <d v="2025-08-01T00:00:00"/>
    <n v="74"/>
    <x v="1"/>
    <n v="64"/>
    <s v="In Stock"/>
    <s v="Recorded"/>
    <s v="Recorded"/>
    <s v="Expired"/>
    <n v="-341"/>
    <s v="Expired"/>
    <n v="0.8783783783783784"/>
    <n v="924495"/>
    <m/>
    <m/>
    <m/>
    <m/>
    <m/>
    <s v="No"/>
  </r>
  <r>
    <s v="DRG0120"/>
    <s v="Multivitamin Syrup"/>
    <x v="0"/>
    <s v="NovaDrugs Abuja"/>
    <n v="33825"/>
    <n v="192"/>
    <n v="29"/>
    <d v="2024-01-25T00:00:00"/>
    <d v="2026-02-06T00:00:00"/>
    <n v="33"/>
    <x v="1"/>
    <n v="29"/>
    <s v="In Stock"/>
    <s v="Recorded"/>
    <s v="Recorded"/>
    <s v="Expired"/>
    <n v="-152"/>
    <s v="Expired"/>
    <n v="5.8181818181818183"/>
    <n v="6494400"/>
    <m/>
    <m/>
    <m/>
    <m/>
    <m/>
    <s v="No"/>
  </r>
  <r>
    <s v="DRG0032"/>
    <s v="Metformin 500mg"/>
    <x v="6"/>
    <s v="NovaDrugs Abuja"/>
    <n v="23500"/>
    <n v="195"/>
    <n v="56"/>
    <d v="2024-10-19T00:00:00"/>
    <d v="2026-09-08T00:00:00"/>
    <n v="141"/>
    <x v="0"/>
    <n v="105"/>
    <s v="Out of Stock"/>
    <s v="Recorded"/>
    <s v="Recorded"/>
    <s v="Active"/>
    <n v="62"/>
    <s v="Expiring Soon"/>
    <n v="1.3829787234042554"/>
    <n v="4582500"/>
    <m/>
    <m/>
    <m/>
    <m/>
    <m/>
    <s v="No"/>
  </r>
  <r>
    <s v="DRG0102"/>
    <s v="Ciprofloxacin 500mg"/>
    <x v="2"/>
    <s v="PharmaCare NG"/>
    <n v="6097"/>
    <n v="490"/>
    <n v="60"/>
    <d v="2024-08-21T00:00:00"/>
    <d v="2026-04-13T00:00:00"/>
    <n v="148"/>
    <x v="1"/>
    <n v="70"/>
    <s v="Expired"/>
    <s v="Recorded"/>
    <s v="Recorded"/>
    <s v="Expired"/>
    <n v="-86"/>
    <s v="Expired"/>
    <n v="3.310810810810811"/>
    <n v="2987530"/>
    <m/>
    <m/>
    <m/>
    <m/>
    <m/>
    <s v="No"/>
  </r>
  <r>
    <s v="DRG0017"/>
    <s v="Doxycycline 100mg"/>
    <x v="2"/>
    <s v="GlobalMed Nigeria"/>
    <n v="25600"/>
    <n v="148"/>
    <n v="22"/>
    <d v="2024-06-26T00:00:00"/>
    <d v="2026-02-04T00:00:00"/>
    <n v="135"/>
    <x v="3"/>
    <n v="113"/>
    <s v="In Stock"/>
    <s v="Recorded"/>
    <s v="Recorded"/>
    <s v="Expired"/>
    <n v="-154"/>
    <s v="Expired"/>
    <n v="1.0962962962962963"/>
    <n v="3788800"/>
    <m/>
    <m/>
    <m/>
    <m/>
    <m/>
    <s v="No"/>
  </r>
  <r>
    <s v="DRG0006"/>
    <s v="Omeprazole 20mg"/>
    <x v="13"/>
    <s v="HealthBridge Ltd"/>
    <n v="30261"/>
    <n v="134"/>
    <n v="58"/>
    <d v="2024-05-23T00:00:00"/>
    <d v="2025-06-13T00:00:00"/>
    <n v="157"/>
    <x v="3"/>
    <n v="125"/>
    <s v="In Stock"/>
    <s v="Recorded"/>
    <s v="Recorded"/>
    <s v="Expired"/>
    <n v="-390"/>
    <s v="Expired"/>
    <n v="0.85350318471337583"/>
    <n v="4054974"/>
    <m/>
    <m/>
    <m/>
    <m/>
    <m/>
    <s v="No"/>
  </r>
  <r>
    <s v="DRG0030"/>
    <s v="Multivitamin Syrup"/>
    <x v="0"/>
    <s v="NovaDrugs Abuja"/>
    <n v="15578"/>
    <n v="468"/>
    <n v="52"/>
    <d v="2024-01-07T00:00:00"/>
    <d v="2025-07-01T00:00:00"/>
    <n v="129"/>
    <x v="3"/>
    <n v="90"/>
    <s v="In Stock"/>
    <s v="Recorded"/>
    <s v="Recorded"/>
    <s v="Expired"/>
    <n v="-372"/>
    <s v="Expired"/>
    <n v="3.6279069767441858"/>
    <n v="7290504"/>
    <m/>
    <m/>
    <m/>
    <m/>
    <m/>
    <s v="No"/>
  </r>
  <r>
    <s v="DRG0103"/>
    <s v="Diclofenac 50mg"/>
    <x v="7"/>
    <s v="PharmaCare NG"/>
    <n v="35969"/>
    <n v="157"/>
    <n v="64"/>
    <d v="2024-06-20T00:00:00"/>
    <d v="2026-10-14T00:00:00"/>
    <n v="79"/>
    <x v="1"/>
    <n v="22"/>
    <s v="In Stock"/>
    <s v="Recorded"/>
    <s v="Recorded"/>
    <s v="Active"/>
    <n v="98"/>
    <s v="OK"/>
    <n v="1.9873417721518987"/>
    <n v="5647133"/>
    <m/>
    <m/>
    <m/>
    <m/>
    <m/>
    <s v="No"/>
  </r>
  <r>
    <s v="DRG0140"/>
    <s v="Tramadol 50mg"/>
    <x v="11"/>
    <s v="NovaDrugs Abuja"/>
    <n v="23639"/>
    <n v="187"/>
    <n v="28"/>
    <d v="2024-03-17T00:00:00"/>
    <d v="2025-10-05T00:00:00"/>
    <n v="80"/>
    <x v="4"/>
    <n v="41"/>
    <s v="In Stock"/>
    <s v="Recorded"/>
    <s v="Recorded"/>
    <s v="Expired"/>
    <n v="-276"/>
    <s v="Expired"/>
    <n v="2.3374999999999999"/>
    <n v="4420493"/>
    <m/>
    <m/>
    <m/>
    <m/>
    <m/>
    <s v="No"/>
  </r>
  <r>
    <s v="DRG0145"/>
    <s v="Cotrimoxazole 480mg"/>
    <x v="2"/>
    <s v="NovaDrugs Abuja"/>
    <n v="5424"/>
    <n v="1"/>
    <n v="39"/>
    <d v="2024-01-27T00:00:00"/>
    <d v="2025-07-26T00:00:00"/>
    <n v="39"/>
    <x v="4"/>
    <n v="10"/>
    <s v="Low Stock"/>
    <s v="Recorded"/>
    <s v="Recorded"/>
    <s v="Expired"/>
    <n v="-347"/>
    <s v="Expired"/>
    <n v="2.564102564102564E-2"/>
    <n v="5424"/>
    <m/>
    <m/>
    <m/>
    <m/>
    <m/>
    <s v="Yes"/>
  </r>
  <r>
    <s v="DRG0097"/>
    <s v="Amlodipine 5mg"/>
    <x v="4"/>
    <s v="MedSupply Lagos"/>
    <n v="34486"/>
    <n v="262"/>
    <n v="69"/>
    <d v="2024-01-03T00:00:00"/>
    <d v="2024-02-27T00:00:00"/>
    <n v="185"/>
    <x v="1"/>
    <n v="119"/>
    <s v="Expired"/>
    <s v="Recorded"/>
    <s v="Recorded"/>
    <s v="Expired"/>
    <n v="-862"/>
    <s v="Expired"/>
    <n v="1.4162162162162162"/>
    <n v="9035332"/>
    <m/>
    <m/>
    <m/>
    <m/>
    <m/>
    <s v="No"/>
  </r>
  <r>
    <s v="DRG0002"/>
    <s v="Metformin 500mg"/>
    <x v="6"/>
    <s v="MedSupply Lagos"/>
    <n v="19460"/>
    <n v="15"/>
    <n v="47"/>
    <d v="2024-03-05T00:00:00"/>
    <d v="2026-10-16T00:00:00"/>
    <n v="13"/>
    <x v="3"/>
    <n v="4"/>
    <s v="Low Stock"/>
    <s v="Recorded"/>
    <s v="Recorded"/>
    <s v="Active"/>
    <n v="100"/>
    <s v="OK"/>
    <n v="1.1538461538461537"/>
    <n v="291900"/>
    <m/>
    <m/>
    <m/>
    <m/>
    <m/>
    <s v="Yes"/>
  </r>
  <r>
    <s v="DRG0025"/>
    <s v="Cotrimoxazole 480mg"/>
    <x v="2"/>
    <s v="NovaDrugs Abuja"/>
    <n v="26966"/>
    <n v="133"/>
    <n v="29"/>
    <d v="2024-08-24T00:00:00"/>
    <d v="2026-08-03T00:00:00"/>
    <n v="128"/>
    <x v="3"/>
    <n v="49"/>
    <s v="In Stock"/>
    <s v="Recorded"/>
    <s v="Recorded"/>
    <s v="Active"/>
    <n v="26"/>
    <s v="Expiring Soon"/>
    <n v="1.0390625"/>
    <n v="3586478"/>
    <m/>
    <m/>
    <m/>
    <m/>
    <m/>
    <s v="No"/>
  </r>
  <r>
    <s v="DRG0149"/>
    <s v="Oral Rehydration Salt"/>
    <x v="8"/>
    <s v="GlobalMed Nigeria"/>
    <n v="42078"/>
    <n v="18"/>
    <n v="68"/>
    <d v="2024-06-29T00:00:00"/>
    <d v="2026-07-12T00:00:00"/>
    <n v="123"/>
    <x v="4"/>
    <n v="35"/>
    <s v="Low Stock"/>
    <s v="Recorded"/>
    <s v="Recorded"/>
    <s v="Active"/>
    <n v="4"/>
    <s v="Expiring Soon"/>
    <n v="0.14634146341463414"/>
    <n v="757404"/>
    <m/>
    <m/>
    <m/>
    <m/>
    <m/>
    <s v="Yes"/>
  </r>
  <r>
    <s v="DRG0065"/>
    <s v="Paracetamol 500mg"/>
    <x v="11"/>
    <s v="HealthBridge Ltd"/>
    <n v="31020"/>
    <m/>
    <n v="61"/>
    <d v="2024-03-25T00:00:00"/>
    <d v="2025-03-10T00:00:00"/>
    <n v="84"/>
    <x v="2"/>
    <n v="23"/>
    <s v="Low Stock"/>
    <s v="Recorded"/>
    <s v="Missing"/>
    <s v="Expired"/>
    <n v="-485"/>
    <s v="Expired"/>
    <n v="0"/>
    <n v="0"/>
    <m/>
    <m/>
    <m/>
    <m/>
    <m/>
    <s v="Yes"/>
  </r>
  <r>
    <s v="DRG0092"/>
    <s v="Metformin 500mg"/>
    <x v="6"/>
    <s v="NovaDrugs Abuja"/>
    <n v="16781"/>
    <n v="178"/>
    <n v="46"/>
    <d v="2024-08-25T00:00:00"/>
    <d v="2025-07-23T00:00:00"/>
    <n v="65"/>
    <x v="1"/>
    <n v="8"/>
    <s v="In Stock"/>
    <s v="Recorded"/>
    <s v="Recorded"/>
    <s v="Expired"/>
    <n v="-350"/>
    <s v="Expired"/>
    <n v="2.7384615384615385"/>
    <n v="2987018"/>
    <m/>
    <m/>
    <m/>
    <m/>
    <m/>
    <s v="No"/>
  </r>
  <r>
    <s v="DRG0038"/>
    <s v="Metronidazole 400mg"/>
    <x v="2"/>
    <s v="GlobalMed Nigeria"/>
    <n v="11568"/>
    <n v="46"/>
    <n v="65"/>
    <d v="2024-08-06T00:00:00"/>
    <d v="2025-12-01T00:00:00"/>
    <n v="72"/>
    <x v="0"/>
    <n v="33"/>
    <s v="Low Stock"/>
    <s v="Recorded"/>
    <s v="Recorded"/>
    <s v="Expired"/>
    <n v="-219"/>
    <s v="Expired"/>
    <n v="0.63888888888888884"/>
    <n v="532128"/>
    <m/>
    <m/>
    <m/>
    <m/>
    <m/>
    <s v="Yes"/>
  </r>
  <r>
    <s v="DRG0046"/>
    <s v="Insulin Glargine"/>
    <x v="6"/>
    <s v="PharmaCare NG"/>
    <n v="30385"/>
    <n v="225"/>
    <n v="26"/>
    <d v="2024-10-01T00:00:00"/>
    <d v="2026-07-09T00:00:00"/>
    <n v="194"/>
    <x v="0"/>
    <n v="115"/>
    <s v="In Stock"/>
    <s v="Recorded"/>
    <s v="Recorded"/>
    <s v="Active"/>
    <n v="1"/>
    <s v="Expiring Soon"/>
    <n v="1.1597938144329898"/>
    <n v="6836625"/>
    <m/>
    <m/>
    <m/>
    <m/>
    <m/>
    <s v="No"/>
  </r>
  <r>
    <s v="DRG0015"/>
    <s v="Vitamin C 1000mg"/>
    <x v="0"/>
    <s v="NovaDrugs Abuja"/>
    <n v="30340"/>
    <n v="44"/>
    <n v="24"/>
    <d v="2024-01-24T00:00:00"/>
    <d v="2025-02-04T00:00:00"/>
    <n v="177"/>
    <x v="3"/>
    <n v="39"/>
    <s v="In Stock"/>
    <s v="Recorded"/>
    <s v="Recorded"/>
    <s v="Expired"/>
    <n v="-519"/>
    <s v="Expired"/>
    <n v="0.24858757062146894"/>
    <n v="1334960"/>
    <m/>
    <m/>
    <m/>
    <m/>
    <m/>
    <s v="No"/>
  </r>
  <r>
    <s v="DRG0110"/>
    <s v="Tramadol 50mg"/>
    <x v="11"/>
    <s v="GlobalMed Nigeria"/>
    <n v="8409"/>
    <n v="391"/>
    <n v="62"/>
    <d v="2024-06-26T00:00:00"/>
    <d v="2025-05-10T00:00:00"/>
    <n v="125"/>
    <x v="1"/>
    <n v="86"/>
    <s v="Out of Stock"/>
    <s v="Recorded"/>
    <s v="Recorded"/>
    <s v="Expired"/>
    <n v="-424"/>
    <s v="Expired"/>
    <n v="3.1280000000000001"/>
    <n v="3287919"/>
    <m/>
    <m/>
    <m/>
    <m/>
    <m/>
    <s v="No"/>
  </r>
  <r>
    <s v="DRG0055"/>
    <s v="Cotrimoxazole 480mg"/>
    <x v="2"/>
    <s v="NovaDrugs Abuja"/>
    <n v="44536"/>
    <n v="411"/>
    <n v="41"/>
    <d v="2024-03-14T00:00:00"/>
    <d v="2026-10-07T00:00:00"/>
    <n v="172"/>
    <x v="0"/>
    <n v="44"/>
    <s v="In Stock"/>
    <s v="Recorded"/>
    <s v="Recorded"/>
    <s v="Active"/>
    <n v="91"/>
    <s v="OK"/>
    <n v="2.38953488372093"/>
    <n v="18304296"/>
    <m/>
    <m/>
    <m/>
    <m/>
    <m/>
    <s v="No"/>
  </r>
  <r>
    <s v="DRG0049"/>
    <s v="Azithromycin 500mg"/>
    <x v="2"/>
    <s v="MedSupply Lagos"/>
    <n v="37111"/>
    <n v="450"/>
    <n v="47"/>
    <d v="2024-04-14T00:00:00"/>
    <d v="2024-06-28T00:00:00"/>
    <n v="14"/>
    <x v="0"/>
    <n v="7"/>
    <s v="Expired"/>
    <s v="Recorded"/>
    <s v="Recorded"/>
    <s v="Expired"/>
    <n v="-740"/>
    <s v="Expired"/>
    <n v="32.142857142857146"/>
    <n v="16699950"/>
    <m/>
    <m/>
    <m/>
    <m/>
    <m/>
    <s v="No"/>
  </r>
  <r>
    <s v="DRG0007"/>
    <s v="Amlodipine 5mg"/>
    <x v="4"/>
    <s v="HealthBridge Ltd"/>
    <n v="8741"/>
    <n v="37"/>
    <n v="47"/>
    <d v="2024-08-25T00:00:00"/>
    <d v="2026-04-10T00:00:00"/>
    <n v="21"/>
    <x v="3"/>
    <n v="7"/>
    <s v="Out of Stock"/>
    <s v="Recorded"/>
    <s v="Recorded"/>
    <s v="Expired"/>
    <n v="-89"/>
    <s v="Expired"/>
    <n v="1.7619047619047619"/>
    <n v="323417"/>
    <m/>
    <m/>
    <m/>
    <m/>
    <m/>
    <s v="Yes"/>
  </r>
  <r>
    <s v="DRG0057"/>
    <s v="Loratadine 10mg"/>
    <x v="14"/>
    <s v="PharmaCare NG"/>
    <n v="7151"/>
    <n v="391"/>
    <n v="48"/>
    <d v="2024-08-22T00:00:00"/>
    <d v="2026-12-19T00:00:00"/>
    <n v="57"/>
    <x v="0"/>
    <n v="16"/>
    <s v="Out of Stock"/>
    <s v="Recorded"/>
    <s v="Recorded"/>
    <s v="Active"/>
    <n v="164"/>
    <s v="OK"/>
    <n v="6.8596491228070171"/>
    <n v="2796041"/>
    <m/>
    <m/>
    <m/>
    <m/>
    <m/>
    <s v="No"/>
  </r>
  <r>
    <s v="DRG0045"/>
    <s v="Vitamin C 1000mg"/>
    <x v="0"/>
    <s v="NovaDrugs Abuja"/>
    <n v="22444"/>
    <n v="466"/>
    <n v="47"/>
    <d v="2024-07-23T00:00:00"/>
    <d v="2026-08-22T00:00:00"/>
    <n v="72"/>
    <x v="0"/>
    <n v="51"/>
    <s v="In Stock"/>
    <s v="Recorded"/>
    <s v="Recorded"/>
    <s v="Active"/>
    <n v="45"/>
    <s v="Expiring Soon"/>
    <n v="6.4722222222222223"/>
    <n v="10458904"/>
    <m/>
    <m/>
    <m/>
    <m/>
    <m/>
    <s v="No"/>
  </r>
  <r>
    <s v="DRG0085"/>
    <s v="Cotrimoxazole 480mg"/>
    <x v="2"/>
    <s v="MedSupply Lagos"/>
    <n v="43940"/>
    <m/>
    <n v="63"/>
    <d v="2024-04-17T00:00:00"/>
    <d v="2024-04-23T00:00:00"/>
    <n v="15"/>
    <x v="2"/>
    <n v="4"/>
    <s v="Expired"/>
    <s v="Recorded"/>
    <s v="Missing"/>
    <s v="Expired"/>
    <n v="-806"/>
    <s v="Expired"/>
    <n v="0"/>
    <n v="0"/>
    <m/>
    <m/>
    <m/>
    <m/>
    <m/>
    <s v="Yes"/>
  </r>
  <r>
    <s v="DRG0136"/>
    <s v="Insulin Glargine"/>
    <x v="6"/>
    <s v="NovaDrugs Abuja"/>
    <n v="28384"/>
    <n v="207"/>
    <n v="65"/>
    <d v="2024-04-17T00:00:00"/>
    <d v="2026-12-31T00:00:00"/>
    <n v="57"/>
    <x v="4"/>
    <n v="7"/>
    <s v="In Stock"/>
    <s v="Recorded"/>
    <s v="Recorded"/>
    <s v="Active"/>
    <n v="176"/>
    <s v="OK"/>
    <n v="3.6315789473684212"/>
    <n v="5875488"/>
    <m/>
    <m/>
    <m/>
    <m/>
    <m/>
    <s v="No"/>
  </r>
  <r>
    <s v="DRG0008"/>
    <s v="Metronidazole 400mg"/>
    <x v="2"/>
    <s v="NovaDrugs Abuja"/>
    <n v="16617"/>
    <n v="453"/>
    <n v="68"/>
    <d v="2024-06-28T00:00:00"/>
    <d v="2026-11-07T00:00:00"/>
    <n v="105"/>
    <x v="3"/>
    <n v="66"/>
    <s v="In Stock"/>
    <s v="Recorded"/>
    <s v="Recorded"/>
    <s v="Active"/>
    <n v="122"/>
    <s v="OK"/>
    <n v="4.3142857142857141"/>
    <n v="7527501"/>
    <m/>
    <m/>
    <m/>
    <m/>
    <m/>
    <s v="No"/>
  </r>
  <r>
    <s v="DRG0131"/>
    <s v="Fluconazole 150mg"/>
    <x v="10"/>
    <s v="HealthBridge Ltd"/>
    <n v="31462"/>
    <n v="11"/>
    <n v="49"/>
    <d v="2024-03-19T00:00:00"/>
    <d v="2025-12-27T00:00:00"/>
    <n v="113"/>
    <x v="4"/>
    <n v="8"/>
    <s v="Low Stock"/>
    <s v="Recorded"/>
    <s v="Recorded"/>
    <s v="Expired"/>
    <n v="-193"/>
    <s v="Expired"/>
    <n v="9.7345132743362831E-2"/>
    <n v="346082"/>
    <m/>
    <m/>
    <m/>
    <m/>
    <m/>
    <s v="Yes"/>
  </r>
  <r>
    <s v="DRG0080"/>
    <s v="Tramadol 50mg"/>
    <x v="11"/>
    <s v="GlobalMed Nigeria"/>
    <n v="40217"/>
    <n v="459"/>
    <n v="45"/>
    <d v="2024-01-28T00:00:00"/>
    <d v="2025-11-27T00:00:00"/>
    <n v="26"/>
    <x v="2"/>
    <n v="20"/>
    <s v="In Stock"/>
    <s v="Recorded"/>
    <s v="Recorded"/>
    <s v="Expired"/>
    <n v="-223"/>
    <s v="Expired"/>
    <n v="17.653846153846153"/>
    <n v="18459603"/>
    <m/>
    <m/>
    <m/>
    <m/>
    <m/>
    <s v="No"/>
  </r>
  <r>
    <s v="DRG0133"/>
    <s v="Diclofenac 50mg"/>
    <x v="7"/>
    <s v="GlobalMed Nigeria"/>
    <n v="31986"/>
    <n v="476"/>
    <n v="56"/>
    <d v="2024-09-04T00:00:00"/>
    <d v="2025-04-23T00:00:00"/>
    <n v="82"/>
    <x v="4"/>
    <n v="6"/>
    <s v="Expired"/>
    <s v="Recorded"/>
    <s v="Recorded"/>
    <s v="Expired"/>
    <n v="-441"/>
    <s v="Expired"/>
    <n v="5.8048780487804876"/>
    <n v="15225336"/>
    <m/>
    <m/>
    <m/>
    <m/>
    <m/>
    <s v="No"/>
  </r>
  <r>
    <s v="DRG0039"/>
    <s v="Atorvastatin 20mg"/>
    <x v="3"/>
    <s v="HealthBridge Ltd"/>
    <n v="18511"/>
    <n v="380"/>
    <n v="65"/>
    <d v="2024-04-18T00:00:00"/>
    <d v="2026-11-29T00:00:00"/>
    <n v="31"/>
    <x v="0"/>
    <n v="10"/>
    <s v="In Stock"/>
    <s v="Recorded"/>
    <s v="Recorded"/>
    <s v="Active"/>
    <n v="144"/>
    <s v="OK"/>
    <n v="12.258064516129032"/>
    <n v="7034180"/>
    <m/>
    <m/>
    <m/>
    <m/>
    <m/>
    <s v="No"/>
  </r>
  <r>
    <s v="DRG0088"/>
    <s v="Gentamicin Eye Drops"/>
    <x v="1"/>
    <s v="HealthBridge Ltd"/>
    <n v="35896"/>
    <n v="269"/>
    <n v="21"/>
    <d v="2024-01-22T00:00:00"/>
    <d v="2025-07-17T00:00:00"/>
    <n v="81"/>
    <x v="2"/>
    <n v="40"/>
    <s v="In Stock"/>
    <s v="Recorded"/>
    <s v="Recorded"/>
    <s v="Expired"/>
    <n v="-356"/>
    <s v="Expired"/>
    <n v="3.3209876543209877"/>
    <n v="9656024"/>
    <m/>
    <m/>
    <m/>
    <m/>
    <m/>
    <s v="No"/>
  </r>
  <r>
    <s v="DRG0093"/>
    <s v="Lisinopril 10mg"/>
    <x v="4"/>
    <s v="NovaDrugs Abuja"/>
    <n v="9968"/>
    <n v="430"/>
    <n v="60"/>
    <d v="2024-03-15T00:00:00"/>
    <d v="2024-02-07T00:00:00"/>
    <n v="174"/>
    <x v="1"/>
    <n v="86"/>
    <s v="Expired"/>
    <s v="Recorded"/>
    <s v="Recorded"/>
    <s v="Expired"/>
    <n v="-882"/>
    <s v="Expired"/>
    <n v="2.4712643678160919"/>
    <n v="4286240"/>
    <m/>
    <m/>
    <m/>
    <m/>
    <m/>
    <s v="No"/>
  </r>
  <r>
    <s v="DRG0086"/>
    <s v="Nifedipine 10mg"/>
    <x v="4"/>
    <s v="PharmaCare NG"/>
    <n v="12123"/>
    <n v="468"/>
    <n v="22"/>
    <d v="2024-09-16T00:00:00"/>
    <d v="2025-12-02T00:00:00"/>
    <n v="19"/>
    <x v="2"/>
    <n v="18"/>
    <s v="In Stock"/>
    <s v="Recorded"/>
    <s v="Recorded"/>
    <s v="Expired"/>
    <n v="-218"/>
    <s v="Expired"/>
    <n v="24.631578947368421"/>
    <n v="5673564"/>
    <m/>
    <m/>
    <m/>
    <m/>
    <m/>
    <s v="No"/>
  </r>
  <r>
    <s v="DRG0075"/>
    <s v="Vitamin C 1000mg"/>
    <x v="0"/>
    <s v="MedSupply Lagos"/>
    <n v="26569"/>
    <n v="289"/>
    <n v="24"/>
    <d v="2024-05-18T00:00:00"/>
    <d v="2026-04-25T00:00:00"/>
    <n v="11"/>
    <x v="2"/>
    <n v="5"/>
    <s v="In Stock"/>
    <s v="Recorded"/>
    <s v="Recorded"/>
    <s v="Expired"/>
    <n v="-74"/>
    <s v="Expired"/>
    <n v="26.272727272727273"/>
    <n v="7678441"/>
    <m/>
    <m/>
    <m/>
    <m/>
    <m/>
    <s v="No"/>
  </r>
  <r>
    <s v="DRG0125"/>
    <s v="Paracetamol 500mg"/>
    <x v="11"/>
    <s v="NovaDrugs Abuja"/>
    <n v="39469"/>
    <n v="202"/>
    <n v="53"/>
    <d v="2024-03-11T00:00:00"/>
    <d v="2026-04-16T00:00:00"/>
    <n v="94"/>
    <x v="4"/>
    <n v="11"/>
    <s v="Low Stock"/>
    <s v="Recorded"/>
    <s v="Recorded"/>
    <s v="Expired"/>
    <n v="-83"/>
    <s v="Expired"/>
    <n v="2.1489361702127661"/>
    <n v="7972738"/>
    <m/>
    <m/>
    <m/>
    <m/>
    <m/>
    <s v="No"/>
  </r>
  <r>
    <s v="DRG0052"/>
    <s v="Prednisolone 5mg"/>
    <x v="12"/>
    <s v="PharmaCare NG"/>
    <n v="27316"/>
    <n v="424"/>
    <n v="22"/>
    <d v="2024-04-13T00:00:00"/>
    <d v="2026-06-26T00:00:00"/>
    <n v="144"/>
    <x v="0"/>
    <n v="38"/>
    <s v="In Stock"/>
    <s v="Recorded"/>
    <s v="Recorded"/>
    <s v="Expired"/>
    <n v="-12"/>
    <s v="Expired"/>
    <n v="2.9444444444444446"/>
    <n v="11581984"/>
    <m/>
    <m/>
    <m/>
    <m/>
    <m/>
    <s v="No"/>
  </r>
  <r>
    <s v="DRG0089"/>
    <s v="Oral Rehydration Salt"/>
    <x v="8"/>
    <s v="MedSupply Lagos"/>
    <n v="18702"/>
    <n v="287"/>
    <n v="34"/>
    <d v="2024-06-16T00:00:00"/>
    <d v="2026-02-26T00:00:00"/>
    <n v="55"/>
    <x v="2"/>
    <n v="55"/>
    <s v="Expired"/>
    <s v="Recorded"/>
    <s v="Recorded"/>
    <s v="Expired"/>
    <n v="-132"/>
    <s v="Expired"/>
    <n v="5.2181818181818178"/>
    <n v="5367474"/>
    <m/>
    <m/>
    <m/>
    <m/>
    <m/>
    <s v="No"/>
  </r>
  <r>
    <s v="DRG0117"/>
    <s v="Loratadine 10mg"/>
    <x v="14"/>
    <s v="MedSupply Lagos"/>
    <n v="35010"/>
    <n v="120"/>
    <n v="23"/>
    <d v="2024-05-13T00:00:00"/>
    <d v="2025-07-26T00:00:00"/>
    <n v="21"/>
    <x v="1"/>
    <n v="21"/>
    <s v="In Stock"/>
    <s v="Recorded"/>
    <s v="Recorded"/>
    <s v="Expired"/>
    <n v="-347"/>
    <s v="Expired"/>
    <n v="5.7142857142857144"/>
    <n v="4201200"/>
    <m/>
    <m/>
    <m/>
    <m/>
    <m/>
    <s v="No"/>
  </r>
  <r>
    <s v="DRG0114"/>
    <s v="Ferrous Sulphate 200mg"/>
    <x v="0"/>
    <s v="GlobalMed Nigeria"/>
    <n v="13829"/>
    <n v="490"/>
    <n v="67"/>
    <d v="2024-02-12T00:00:00"/>
    <d v="2025-11-08T00:00:00"/>
    <n v="161"/>
    <x v="1"/>
    <n v="76"/>
    <s v="Out of Stock"/>
    <s v="Recorded"/>
    <s v="Recorded"/>
    <s v="Expired"/>
    <n v="-242"/>
    <s v="Expired"/>
    <n v="3.0434782608695654"/>
    <n v="6776210"/>
    <m/>
    <m/>
    <m/>
    <m/>
    <m/>
    <s v="No"/>
  </r>
  <r>
    <s v="DRG0142"/>
    <s v="Prednisolone 5mg"/>
    <x v="12"/>
    <s v="HealthBridge Ltd"/>
    <n v="7133"/>
    <n v="53"/>
    <n v="33"/>
    <d v="2024-03-15T00:00:00"/>
    <d v="2025-05-27T00:00:00"/>
    <n v="53"/>
    <x v="4"/>
    <n v="35"/>
    <s v="In Stock"/>
    <s v="Recorded"/>
    <s v="Recorded"/>
    <s v="Expired"/>
    <n v="-407"/>
    <s v="Expired"/>
    <n v="1"/>
    <n v="378049"/>
    <m/>
    <m/>
    <m/>
    <m/>
    <m/>
    <s v="No"/>
  </r>
  <r>
    <s v="DRG0013"/>
    <s v="Diclofenac 50mg"/>
    <x v="7"/>
    <s v="MedSupply Lagos"/>
    <n v="44026"/>
    <n v="106"/>
    <n v="38"/>
    <d v="2024-01-17T00:00:00"/>
    <d v="2025-07-10T00:00:00"/>
    <n v="199"/>
    <x v="3"/>
    <n v="18"/>
    <s v="In Stock"/>
    <s v="Recorded"/>
    <s v="Recorded"/>
    <s v="Expired"/>
    <n v="-363"/>
    <s v="Expired"/>
    <n v="0.53266331658291455"/>
    <n v="4666756"/>
    <m/>
    <m/>
    <m/>
    <m/>
    <m/>
    <s v="No"/>
  </r>
  <r>
    <s v="DRG0134"/>
    <s v="Folic Acid 5mg"/>
    <x v="0"/>
    <s v="NovaDrugs Abuja"/>
    <n v="34102"/>
    <n v="330"/>
    <n v="43"/>
    <d v="2024-08-19T00:00:00"/>
    <d v="2026-08-25T00:00:00"/>
    <n v="35"/>
    <x v="4"/>
    <n v="13"/>
    <s v="In Stock"/>
    <s v="Recorded"/>
    <s v="Recorded"/>
    <s v="Active"/>
    <n v="48"/>
    <s v="Expiring Soon"/>
    <n v="9.4285714285714288"/>
    <n v="11253660"/>
    <m/>
    <m/>
    <m/>
    <m/>
    <m/>
    <s v="No"/>
  </r>
  <r>
    <s v="DRG0096"/>
    <s v="Omeprazole 20mg"/>
    <x v="13"/>
    <s v="PharmaCare NG"/>
    <n v="40591"/>
    <n v="370"/>
    <n v="78"/>
    <d v="2024-08-31T00:00:00"/>
    <d v="2026-12-21T00:00:00"/>
    <n v="42"/>
    <x v="1"/>
    <n v="26"/>
    <s v="In Stock"/>
    <s v="Recorded"/>
    <s v="Recorded"/>
    <s v="Active"/>
    <n v="166"/>
    <s v="OK"/>
    <n v="8.8095238095238102"/>
    <n v="15018670"/>
    <m/>
    <m/>
    <m/>
    <m/>
    <m/>
    <s v="No"/>
  </r>
  <r>
    <s v="DRG0056"/>
    <s v="Nifedipine 10mg"/>
    <x v="4"/>
    <s v="GlobalMed Nigeria"/>
    <n v="5229"/>
    <n v="257"/>
    <n v="66"/>
    <d v="2024-08-07T00:00:00"/>
    <d v="2025-07-23T00:00:00"/>
    <n v="112"/>
    <x v="0"/>
    <n v="79"/>
    <s v="In Stock"/>
    <s v="Recorded"/>
    <s v="Recorded"/>
    <s v="Expired"/>
    <n v="-350"/>
    <s v="Expired"/>
    <n v="2.2946428571428572"/>
    <n v="1343853"/>
    <m/>
    <m/>
    <m/>
    <m/>
    <m/>
    <s v="No"/>
  </r>
  <r>
    <s v="DRG0028"/>
    <s v="Gentamicin Eye Drops"/>
    <x v="1"/>
    <s v="MedSupply Lagos"/>
    <n v="19689"/>
    <m/>
    <n v="59"/>
    <d v="2024-03-19T00:00:00"/>
    <d v="2026-06-27T00:00:00"/>
    <n v="119"/>
    <x v="3"/>
    <n v="118"/>
    <s v="In Stock"/>
    <s v="Recorded"/>
    <s v="Missing"/>
    <s v="Expired"/>
    <n v="-11"/>
    <s v="Expired"/>
    <n v="0"/>
    <n v="0"/>
    <m/>
    <m/>
    <m/>
    <m/>
    <m/>
    <s v="Yes"/>
  </r>
  <r>
    <s v="DRG0143"/>
    <s v="Ibuprofen 400mg"/>
    <x v="7"/>
    <s v="HealthBridge Ltd"/>
    <n v="2927"/>
    <n v="460"/>
    <n v="50"/>
    <d v="2024-07-10T00:00:00"/>
    <d v="2024-06-14T00:00:00"/>
    <n v="110"/>
    <x v="4"/>
    <n v="60"/>
    <s v="Expired"/>
    <s v="Recorded"/>
    <s v="Recorded"/>
    <s v="Expired"/>
    <n v="-754"/>
    <s v="Expired"/>
    <n v="4.1818181818181817"/>
    <n v="1346420"/>
    <m/>
    <m/>
    <m/>
    <m/>
    <m/>
    <s v="No"/>
  </r>
  <r>
    <s v="DRG0100"/>
    <s v="Salbutamol Inhaler"/>
    <x v="9"/>
    <s v="MedSupply Lagos"/>
    <n v="20757"/>
    <n v="196"/>
    <n v="31"/>
    <d v="2024-06-24T00:00:00"/>
    <d v="2026-05-24T00:00:00"/>
    <n v="176"/>
    <x v="1"/>
    <n v="9"/>
    <s v="In Stock"/>
    <s v="Recorded"/>
    <s v="Recorded"/>
    <s v="Expired"/>
    <n v="-45"/>
    <s v="Expired"/>
    <n v="1.1136363636363635"/>
    <n v="4068372"/>
    <m/>
    <m/>
    <m/>
    <m/>
    <m/>
    <s v="No"/>
  </r>
  <r>
    <s v="DRG0001"/>
    <s v="Amoxicillin 500mg"/>
    <x v="2"/>
    <s v="HealthBridge Ltd"/>
    <n v="19205"/>
    <n v="350"/>
    <n v="78"/>
    <d v="2024-04-05T00:00:00"/>
    <d v="2026-12-14T00:00:00"/>
    <n v="47"/>
    <x v="3"/>
    <n v="14"/>
    <s v="In Stock"/>
    <s v="Recorded"/>
    <s v="Recorded"/>
    <s v="Active"/>
    <n v="159"/>
    <s v="OK"/>
    <n v="7.4468085106382977"/>
    <n v="6721750"/>
    <m/>
    <m/>
    <m/>
    <m/>
    <m/>
    <s v="No"/>
  </r>
  <r>
    <s v="DRG0130"/>
    <s v="Salbutamol Inhaler"/>
    <x v="9"/>
    <s v="MedSupply Lagos"/>
    <n v="38076"/>
    <n v="165"/>
    <n v="41"/>
    <d v="2024-09-16T00:00:00"/>
    <d v="2026-04-01T00:00:00"/>
    <n v="15"/>
    <x v="4"/>
    <n v="10"/>
    <s v="In Stock"/>
    <s v="Recorded"/>
    <s v="Recorded"/>
    <s v="Expired"/>
    <n v="-98"/>
    <s v="Expired"/>
    <n v="11"/>
    <n v="6282540"/>
    <m/>
    <m/>
    <m/>
    <m/>
    <m/>
    <s v="No"/>
  </r>
  <r>
    <s v="DRG0090"/>
    <s v="Multivitamin Syrup"/>
    <x v="0"/>
    <s v="GlobalMed Nigeria"/>
    <n v="30812"/>
    <n v="489"/>
    <n v="80"/>
    <d v="2024-08-28T00:00:00"/>
    <d v="2025-03-18T00:00:00"/>
    <n v="31"/>
    <x v="2"/>
    <n v="3"/>
    <s v="In Stock"/>
    <s v="Recorded"/>
    <s v="Recorded"/>
    <s v="Expired"/>
    <n v="-477"/>
    <s v="Expired"/>
    <n v="15.774193548387096"/>
    <n v="15067068"/>
    <m/>
    <m/>
    <m/>
    <m/>
    <m/>
    <s v="No"/>
  </r>
  <r>
    <s v="DRG0077"/>
    <s v="Doxycycline 100mg"/>
    <x v="2"/>
    <s v="MedSupply Lagos"/>
    <n v="42834"/>
    <n v="443"/>
    <n v="79"/>
    <d v="2024-05-12T00:00:00"/>
    <d v="2026-09-24T00:00:00"/>
    <n v="103"/>
    <x v="2"/>
    <n v="3"/>
    <s v="In Stock"/>
    <s v="Recorded"/>
    <s v="Recorded"/>
    <s v="Active"/>
    <n v="78"/>
    <s v="Expiring Soon"/>
    <n v="4.3009708737864081"/>
    <n v="18975462"/>
    <m/>
    <m/>
    <m/>
    <m/>
    <m/>
    <s v="No"/>
  </r>
  <r>
    <s v="DRG0071"/>
    <s v="Fluconazole 150mg"/>
    <x v="10"/>
    <s v="NovaDrugs Abuja"/>
    <n v="16394"/>
    <n v="97"/>
    <n v="57"/>
    <d v="2024-09-20T00:00:00"/>
    <d v="2025-04-21T00:00:00"/>
    <n v="184"/>
    <x v="2"/>
    <n v="41"/>
    <s v="In Stock"/>
    <s v="Recorded"/>
    <s v="Recorded"/>
    <s v="Expired"/>
    <n v="-443"/>
    <s v="Expired"/>
    <n v="0.52717391304347827"/>
    <n v="1590218"/>
    <m/>
    <m/>
    <m/>
    <m/>
    <m/>
    <s v="No"/>
  </r>
  <r>
    <s v="DRG0132"/>
    <s v="Ciprofloxacin 500mg"/>
    <x v="2"/>
    <s v="PharmaCare NG"/>
    <n v="44975"/>
    <n v="472"/>
    <n v="57"/>
    <d v="2024-08-13T00:00:00"/>
    <d v="2026-07-26T00:00:00"/>
    <n v="163"/>
    <x v="4"/>
    <n v="15"/>
    <s v="In Stock"/>
    <s v="Recorded"/>
    <s v="Recorded"/>
    <s v="Active"/>
    <n v="18"/>
    <s v="Expiring Soon"/>
    <n v="2.8957055214723928"/>
    <n v="21228200"/>
    <m/>
    <m/>
    <m/>
    <m/>
    <m/>
    <s v="No"/>
  </r>
  <r>
    <s v="DRG0095"/>
    <s v="Paracetamol 500mg"/>
    <x v="11"/>
    <s v="NovaDrugs Abuja"/>
    <n v="10245"/>
    <n v="128"/>
    <n v="52"/>
    <d v="2024-01-19T00:00:00"/>
    <d v="2026-09-22T00:00:00"/>
    <n v="115"/>
    <x v="1"/>
    <n v="90"/>
    <s v="In Stock"/>
    <s v="Recorded"/>
    <s v="Recorded"/>
    <s v="Active"/>
    <n v="76"/>
    <s v="Expiring Soon"/>
    <n v="1.1130434782608696"/>
    <n v="1311360"/>
    <m/>
    <m/>
    <m/>
    <m/>
    <m/>
    <s v="No"/>
  </r>
  <r>
    <s v="DRG0062"/>
    <s v="Metformin 500mg"/>
    <x v="6"/>
    <s v="HealthBridge Ltd"/>
    <n v="10338"/>
    <n v="60"/>
    <n v="56"/>
    <d v="2024-03-20T00:00:00"/>
    <d v="2024-05-30T00:00:00"/>
    <n v="84"/>
    <x v="2"/>
    <n v="63"/>
    <s v="Expired"/>
    <s v="Recorded"/>
    <s v="Recorded"/>
    <s v="Expired"/>
    <n v="-769"/>
    <s v="Expired"/>
    <n v="0.7142857142857143"/>
    <n v="620280"/>
    <m/>
    <m/>
    <m/>
    <m/>
    <m/>
    <s v="No"/>
  </r>
  <r>
    <s v="DRG0141"/>
    <s v="Ceftriaxone 1g"/>
    <x v="2"/>
    <s v="PharmaCare NG"/>
    <n v="175"/>
    <n v="434"/>
    <n v="54"/>
    <d v="2024-09-28T00:00:00"/>
    <d v="2026-01-06T00:00:00"/>
    <n v="26"/>
    <x v="4"/>
    <n v="16"/>
    <s v="In Stock"/>
    <s v="Recorded"/>
    <s v="Recorded"/>
    <s v="Expired"/>
    <n v="-183"/>
    <s v="Expired"/>
    <n v="16.692307692307693"/>
    <n v="75950"/>
    <m/>
    <m/>
    <m/>
    <m/>
    <m/>
    <s v="No"/>
  </r>
  <r>
    <s v="DRG0098"/>
    <s v="Metronidazole 400mg"/>
    <x v="2"/>
    <s v="HealthBridge Ltd"/>
    <n v="43634"/>
    <n v="270"/>
    <n v="38"/>
    <d v="2024-04-14T00:00:00"/>
    <d v="2025-04-02T00:00:00"/>
    <n v="115"/>
    <x v="1"/>
    <n v="81"/>
    <s v="In Stock"/>
    <s v="Recorded"/>
    <s v="Recorded"/>
    <s v="Expired"/>
    <n v="-462"/>
    <s v="Expired"/>
    <n v="2.347826086956522"/>
    <n v="11781180"/>
    <m/>
    <m/>
    <m/>
    <m/>
    <m/>
    <s v="No"/>
  </r>
  <r>
    <s v="DRG0042"/>
    <s v="Ciprofloxacin 500mg"/>
    <x v="2"/>
    <s v="PharmaCare NG"/>
    <n v="27766"/>
    <m/>
    <n v="28"/>
    <d v="2024-01-01T00:00:00"/>
    <d v="2025-06-23T00:00:00"/>
    <n v="72"/>
    <x v="0"/>
    <n v="44"/>
    <s v="In Stock"/>
    <s v="Recorded"/>
    <s v="Missing"/>
    <s v="Expired"/>
    <n v="-380"/>
    <s v="Expired"/>
    <n v="0"/>
    <n v="0"/>
    <m/>
    <m/>
    <m/>
    <m/>
    <m/>
    <s v="Yes"/>
  </r>
  <r>
    <s v="DRG0146"/>
    <s v="Nifedipine 10mg"/>
    <x v="4"/>
    <s v="NovaDrugs Abuja"/>
    <n v="44549"/>
    <n v="282"/>
    <n v="32"/>
    <d v="2024-04-25T00:00:00"/>
    <d v="2025-03-26T00:00:00"/>
    <n v="122"/>
    <x v="4"/>
    <n v="74"/>
    <s v="Out of Stock"/>
    <s v="Recorded"/>
    <s v="Recorded"/>
    <s v="Expired"/>
    <n v="-469"/>
    <s v="Expired"/>
    <n v="2.3114754098360657"/>
    <n v="12562818"/>
    <m/>
    <m/>
    <m/>
    <m/>
    <m/>
    <s v="No"/>
  </r>
  <r>
    <s v="DRG0027"/>
    <s v="Loratadine 10mg"/>
    <x v="14"/>
    <s v="NovaDrugs Abuja"/>
    <m/>
    <n v="266"/>
    <n v="66"/>
    <d v="2024-01-29T00:00:00"/>
    <d v="2026-11-26T00:00:00"/>
    <n v="186"/>
    <x v="3"/>
    <n v="109"/>
    <s v="Expired"/>
    <s v="Missing"/>
    <s v="Recorded"/>
    <s v="Active"/>
    <n v="141"/>
    <s v="OK"/>
    <n v="1.4301075268817205"/>
    <n v="0"/>
    <m/>
    <m/>
    <m/>
    <m/>
    <m/>
    <s v="No"/>
  </r>
  <r>
    <s v="DRG0037"/>
    <s v="Amlodipine 5mg"/>
    <x v="4"/>
    <s v="MedSupply Lagos"/>
    <n v="43367"/>
    <n v="394"/>
    <n v="65"/>
    <d v="2024-07-28T00:00:00"/>
    <d v="2026-06-13T00:00:00"/>
    <n v="141"/>
    <x v="0"/>
    <n v="39"/>
    <s v="Low Stock"/>
    <s v="Recorded"/>
    <s v="Recorded"/>
    <s v="Expired"/>
    <n v="-25"/>
    <s v="Expired"/>
    <n v="2.7943262411347516"/>
    <n v="17086598"/>
    <m/>
    <m/>
    <m/>
    <m/>
    <m/>
    <s v="No"/>
  </r>
  <r>
    <s v="DRG0135"/>
    <s v="Vitamin C 1000mg"/>
    <x v="0"/>
    <s v="MedSupply Lagos"/>
    <n v="24471"/>
    <n v="391"/>
    <n v="29"/>
    <d v="2024-09-19T00:00:00"/>
    <d v="2024-04-04T00:00:00"/>
    <n v="85"/>
    <x v="4"/>
    <n v="83"/>
    <s v="Expired"/>
    <s v="Recorded"/>
    <s v="Recorded"/>
    <s v="Expired"/>
    <n v="-825"/>
    <s v="Expired"/>
    <n v="4.5999999999999996"/>
    <n v="9568161"/>
    <m/>
    <m/>
    <m/>
    <m/>
    <m/>
    <s v="No"/>
  </r>
  <r>
    <s v="DRG0020"/>
    <s v="Tramadol 50mg"/>
    <x v="11"/>
    <s v="GlobalMed Nigeria"/>
    <n v="29020"/>
    <n v="99"/>
    <n v="56"/>
    <d v="2024-07-20T00:00:00"/>
    <d v="2026-08-14T00:00:00"/>
    <n v="23"/>
    <x v="3"/>
    <n v="3"/>
    <s v="In Stock"/>
    <s v="Recorded"/>
    <s v="Recorded"/>
    <s v="Active"/>
    <n v="37"/>
    <s v="Expiring Soon"/>
    <n v="4.3043478260869561"/>
    <n v="2872980"/>
    <m/>
    <m/>
    <m/>
    <m/>
    <m/>
    <s v="No"/>
  </r>
  <r>
    <s v="DRG0040"/>
    <s v="Salbutamol Inhaler"/>
    <x v="9"/>
    <s v="MedSupply Lagos"/>
    <n v="41080"/>
    <n v="156"/>
    <n v="26"/>
    <d v="2024-02-22T00:00:00"/>
    <d v="2026-10-06T00:00:00"/>
    <n v="36"/>
    <x v="0"/>
    <n v="2"/>
    <s v="In Stock"/>
    <s v="Recorded"/>
    <s v="Recorded"/>
    <s v="Active"/>
    <n v="90"/>
    <s v="Expiring Soon"/>
    <n v="4.333333333333333"/>
    <n v="6408480"/>
    <m/>
    <m/>
    <m/>
    <m/>
    <m/>
    <s v="No"/>
  </r>
  <r>
    <s v="DRG0126"/>
    <s v="Omeprazole 20mg"/>
    <x v="13"/>
    <s v="GlobalMed Nigeria"/>
    <n v="40398"/>
    <n v="16"/>
    <n v="24"/>
    <d v="2024-04-18T00:00:00"/>
    <d v="2025-02-23T00:00:00"/>
    <n v="163"/>
    <x v="4"/>
    <n v="11"/>
    <s v="Low Stock"/>
    <s v="Recorded"/>
    <s v="Recorded"/>
    <s v="Expired"/>
    <n v="-500"/>
    <s v="Expired"/>
    <n v="9.815950920245399E-2"/>
    <n v="646368"/>
    <m/>
    <m/>
    <m/>
    <m/>
    <m/>
    <s v="Yes"/>
  </r>
  <r>
    <s v="DRG0054"/>
    <s v="Ferrous Sulphate 200mg"/>
    <x v="0"/>
    <s v="NovaDrugs Abuja"/>
    <n v="34686"/>
    <n v="356"/>
    <n v="31"/>
    <d v="2024-04-08T00:00:00"/>
    <d v="2025-03-29T00:00:00"/>
    <n v="197"/>
    <x v="0"/>
    <n v="7"/>
    <s v="In Stock"/>
    <s v="Recorded"/>
    <s v="Recorded"/>
    <s v="Expired"/>
    <n v="-466"/>
    <s v="Expired"/>
    <n v="1.8071065989847717"/>
    <n v="12348216"/>
    <m/>
    <m/>
    <m/>
    <m/>
    <m/>
    <s v="No"/>
  </r>
  <r>
    <s v="DRG0029"/>
    <s v="Oral Rehydration Salt"/>
    <x v="8"/>
    <s v="PharmaCare NG"/>
    <n v="16119"/>
    <n v="161"/>
    <n v="53"/>
    <d v="2024-09-15T00:00:00"/>
    <d v="2024-04-26T00:00:00"/>
    <n v="97"/>
    <x v="3"/>
    <n v="83"/>
    <s v="Expired"/>
    <s v="Recorded"/>
    <s v="Recorded"/>
    <s v="Expired"/>
    <n v="-803"/>
    <s v="Expired"/>
    <n v="1.6597938144329898"/>
    <n v="2595159"/>
    <m/>
    <m/>
    <m/>
    <m/>
    <m/>
    <s v="No"/>
  </r>
  <r>
    <s v="DRG0053"/>
    <s v="Ibuprofen 400mg"/>
    <x v="7"/>
    <s v="MedSupply Lagos"/>
    <n v="31343"/>
    <n v="492"/>
    <n v="32"/>
    <d v="2024-09-09T00:00:00"/>
    <d v="2024-03-05T00:00:00"/>
    <n v="27"/>
    <x v="0"/>
    <n v="14"/>
    <s v="Expired"/>
    <s v="Recorded"/>
    <s v="Recorded"/>
    <s v="Expired"/>
    <n v="-855"/>
    <s v="Expired"/>
    <n v="18.222222222222221"/>
    <n v="15420756"/>
    <m/>
    <m/>
    <m/>
    <m/>
    <m/>
    <s v="No"/>
  </r>
  <r>
    <s v="DRG0127"/>
    <s v="Amlodipine 5mg"/>
    <x v="4"/>
    <s v="GlobalMed Nigeria"/>
    <n v="25395"/>
    <n v="446"/>
    <n v="50"/>
    <d v="2024-07-07T00:00:00"/>
    <d v="2025-03-18T00:00:00"/>
    <n v="187"/>
    <x v="4"/>
    <n v="154"/>
    <s v="In Stock"/>
    <s v="Recorded"/>
    <s v="Recorded"/>
    <s v="Expired"/>
    <n v="-477"/>
    <s v="Expired"/>
    <n v="2.3850267379679146"/>
    <n v="11326170"/>
    <m/>
    <m/>
    <m/>
    <m/>
    <m/>
    <s v="No"/>
  </r>
  <r>
    <s v="DRG0094"/>
    <s v="Artemether/Lumefantrine"/>
    <x v="5"/>
    <s v="GlobalMed Nigeria"/>
    <n v="29622"/>
    <n v="485"/>
    <n v="41"/>
    <d v="2024-09-19T00:00:00"/>
    <d v="2025-02-01T00:00:00"/>
    <n v="63"/>
    <x v="1"/>
    <n v="1"/>
    <s v="In Stock"/>
    <s v="Recorded"/>
    <s v="Recorded"/>
    <s v="Expired"/>
    <n v="-522"/>
    <s v="Expired"/>
    <n v="7.6984126984126986"/>
    <n v="14366670"/>
    <m/>
    <m/>
    <m/>
    <m/>
    <m/>
    <s v="No"/>
  </r>
  <r>
    <s v="DRG0129"/>
    <s v="Atorvastatin 20mg"/>
    <x v="3"/>
    <s v="PharmaCare NG"/>
    <n v="18907"/>
    <n v="233"/>
    <n v="41"/>
    <d v="2024-09-20T00:00:00"/>
    <d v="2026-05-06T00:00:00"/>
    <n v="115"/>
    <x v="4"/>
    <n v="114"/>
    <s v="In Stock"/>
    <s v="Recorded"/>
    <s v="Recorded"/>
    <s v="Expired"/>
    <n v="-63"/>
    <s v="Expired"/>
    <n v="2.026086956521739"/>
    <n v="4405331"/>
    <m/>
    <m/>
    <m/>
    <m/>
    <m/>
    <s v="No"/>
  </r>
  <r>
    <s v="DRG0033"/>
    <s v="Lisinopril 10mg"/>
    <x v="4"/>
    <s v="NovaDrugs Abuja"/>
    <n v="44210"/>
    <n v="63"/>
    <n v="78"/>
    <d v="2024-04-15T00:00:00"/>
    <d v="2026-02-19T00:00:00"/>
    <n v="158"/>
    <x v="0"/>
    <n v="9"/>
    <s v="Low Stock"/>
    <s v="Recorded"/>
    <s v="Recorded"/>
    <s v="Expired"/>
    <n v="-139"/>
    <s v="Expired"/>
    <n v="0.39873417721518989"/>
    <n v="2785230"/>
    <m/>
    <m/>
    <m/>
    <m/>
    <m/>
    <s v="Yes"/>
  </r>
  <r>
    <s v="DRG0099"/>
    <s v="Atorvastatin 20mg"/>
    <x v="3"/>
    <s v="HealthBridge Ltd"/>
    <n v="43651"/>
    <n v="164"/>
    <n v="61"/>
    <d v="2024-08-18T00:00:00"/>
    <d v="2025-12-21T00:00:00"/>
    <n v="42"/>
    <x v="1"/>
    <n v="21"/>
    <s v="In Stock"/>
    <s v="Recorded"/>
    <s v="Recorded"/>
    <s v="Expired"/>
    <n v="-199"/>
    <s v="Expired"/>
    <n v="3.9047619047619047"/>
    <n v="7158764"/>
    <m/>
    <m/>
    <m/>
    <m/>
    <m/>
    <s v="No"/>
  </r>
  <r>
    <s v="DRG0105"/>
    <s v="Vitamin C 1000mg"/>
    <x v="0"/>
    <s v="HealthBridge Ltd"/>
    <n v="29425"/>
    <n v="316"/>
    <n v="27"/>
    <d v="2024-07-02T00:00:00"/>
    <d v="2025-04-01T00:00:00"/>
    <n v="71"/>
    <x v="1"/>
    <n v="42"/>
    <s v="In Stock"/>
    <s v="Recorded"/>
    <s v="Recorded"/>
    <s v="Expired"/>
    <n v="-463"/>
    <s v="Expired"/>
    <n v="4.450704225352113"/>
    <n v="9298300"/>
    <m/>
    <m/>
    <m/>
    <m/>
    <m/>
    <s v="No"/>
  </r>
  <r>
    <s v="DRG0137"/>
    <s v="Doxycycline 100mg"/>
    <x v="2"/>
    <s v="HealthBridge Ltd"/>
    <n v="1106"/>
    <n v="283"/>
    <n v="33"/>
    <d v="2024-05-17T00:00:00"/>
    <d v="2025-03-02T00:00:00"/>
    <n v="50"/>
    <x v="4"/>
    <n v="29"/>
    <s v="In Stock"/>
    <s v="Recorded"/>
    <s v="Recorded"/>
    <s v="Expired"/>
    <n v="-493"/>
    <s v="Expired"/>
    <n v="5.66"/>
    <n v="312998"/>
    <m/>
    <m/>
    <m/>
    <m/>
    <m/>
    <s v="No"/>
  </r>
  <r>
    <s v="DRG0070"/>
    <s v="Salbutamol Inhaler"/>
    <x v="9"/>
    <s v="PharmaCare NG"/>
    <n v="31738"/>
    <n v="457"/>
    <n v="35"/>
    <d v="2024-02-23T00:00:00"/>
    <d v="2024-01-31T00:00:00"/>
    <n v="95"/>
    <x v="2"/>
    <n v="27"/>
    <s v="Expired"/>
    <s v="Recorded"/>
    <s v="Recorded"/>
    <s v="Expired"/>
    <n v="-889"/>
    <s v="Expired"/>
    <n v="4.810526315789474"/>
    <n v="14504266"/>
    <m/>
    <m/>
    <m/>
    <m/>
    <m/>
    <s v="No"/>
  </r>
  <r>
    <s v="DRG0021"/>
    <s v="Ceftriaxone 1g"/>
    <x v="2"/>
    <s v="HealthBridge Ltd"/>
    <n v="35119"/>
    <n v="203"/>
    <n v="39"/>
    <d v="2024-03-17T00:00:00"/>
    <d v="2025-12-02T00:00:00"/>
    <n v="76"/>
    <x v="3"/>
    <n v="11"/>
    <s v="In Stock"/>
    <s v="Recorded"/>
    <s v="Recorded"/>
    <s v="Expired"/>
    <n v="-218"/>
    <s v="Expired"/>
    <n v="2.6710526315789473"/>
    <n v="7129157"/>
    <m/>
    <m/>
    <m/>
    <m/>
    <m/>
    <s v="No"/>
  </r>
  <r>
    <s v="DRG0116"/>
    <s v="Nifedipine 10mg"/>
    <x v="4"/>
    <s v="MedSupply Lagos"/>
    <n v="24133"/>
    <n v="127"/>
    <n v="66"/>
    <d v="2024-03-28T00:00:00"/>
    <d v="2025-05-26T00:00:00"/>
    <n v="132"/>
    <x v="1"/>
    <n v="0"/>
    <s v="In Stock"/>
    <s v="Recorded"/>
    <s v="Recorded"/>
    <s v="Expired"/>
    <n v="-408"/>
    <s v="Expired"/>
    <n v="0.96212121212121215"/>
    <n v="3064891"/>
    <m/>
    <m/>
    <m/>
    <m/>
    <m/>
    <s v="No"/>
  </r>
  <r>
    <s v="DRG0147"/>
    <s v="Loratadine 10mg"/>
    <x v="14"/>
    <s v="GlobalMed Nigeria"/>
    <n v="16038"/>
    <n v="398"/>
    <n v="61"/>
    <d v="2024-03-06T00:00:00"/>
    <d v="2025-04-13T00:00:00"/>
    <n v="55"/>
    <x v="4"/>
    <n v="49"/>
    <s v="In Stock"/>
    <s v="Recorded"/>
    <s v="Recorded"/>
    <s v="Expired"/>
    <n v="-451"/>
    <s v="Expired"/>
    <n v="7.2363636363636363"/>
    <n v="6383124"/>
    <m/>
    <m/>
    <m/>
    <m/>
    <m/>
    <s v="No"/>
  </r>
  <r>
    <s v="DRG0107"/>
    <s v="Doxycycline 100mg"/>
    <x v="2"/>
    <s v="MedSupply Lagos"/>
    <n v="22081"/>
    <n v="346"/>
    <n v="24"/>
    <d v="2024-09-30T00:00:00"/>
    <d v="2026-11-25T00:00:00"/>
    <n v="109"/>
    <x v="1"/>
    <n v="43"/>
    <s v="In Stock"/>
    <s v="Recorded"/>
    <s v="Recorded"/>
    <s v="Active"/>
    <n v="140"/>
    <s v="OK"/>
    <n v="3.1743119266055047"/>
    <n v="7640026"/>
    <m/>
    <m/>
    <m/>
    <m/>
    <m/>
    <s v="No"/>
  </r>
  <r>
    <s v="DRG0050"/>
    <s v="Tramadol 50mg"/>
    <x v="11"/>
    <s v="GlobalMed Nigeria"/>
    <n v="8809"/>
    <n v="443"/>
    <n v="49"/>
    <d v="2024-02-14T00:00:00"/>
    <d v="2026-06-16T00:00:00"/>
    <n v="160"/>
    <x v="0"/>
    <n v="160"/>
    <s v="In Stock"/>
    <s v="Recorded"/>
    <s v="Recorded"/>
    <s v="Expired"/>
    <n v="-22"/>
    <s v="Expired"/>
    <n v="2.7687499999999998"/>
    <n v="3902387"/>
    <m/>
    <m/>
    <m/>
    <m/>
    <m/>
    <s v="No"/>
  </r>
  <r>
    <s v="DRG0061"/>
    <s v="Amoxicillin 500mg"/>
    <x v="2"/>
    <s v="PharmaCare NG"/>
    <n v="40688"/>
    <n v="173"/>
    <n v="55"/>
    <d v="2024-06-25T00:00:00"/>
    <d v="2024-04-15T00:00:00"/>
    <n v="114"/>
    <x v="2"/>
    <n v="109"/>
    <s v="Expired"/>
    <s v="Recorded"/>
    <s v="Recorded"/>
    <s v="Expired"/>
    <n v="-814"/>
    <s v="Expired"/>
    <n v="1.5175438596491229"/>
    <n v="7039024"/>
    <m/>
    <m/>
    <m/>
    <m/>
    <m/>
    <s v="No"/>
  </r>
  <r>
    <s v="DRG0150"/>
    <s v="Multivitamin Syrup"/>
    <x v="0"/>
    <s v="PharmaCare NG"/>
    <n v="23467"/>
    <n v="121"/>
    <n v="79"/>
    <d v="2024-05-27T00:00:00"/>
    <d v="2025-12-03T00:00:00"/>
    <n v="86"/>
    <x v="4"/>
    <n v="14"/>
    <s v="In Stock"/>
    <s v="Recorded"/>
    <s v="Recorded"/>
    <s v="Expired"/>
    <n v="-217"/>
    <s v="Expired"/>
    <n v="1.4069767441860466"/>
    <n v="2839507"/>
    <m/>
    <m/>
    <m/>
    <m/>
    <m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8FACE-CFEB-4D54-99C1-C273DEBEBE3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10" firstHeaderRow="1" firstDataRow="2" firstDataCol="1"/>
  <pivotFields count="26">
    <pivotField showAll="0"/>
    <pivotField showAll="0"/>
    <pivotField axis="axisCol" showAll="0">
      <items count="16">
        <item x="11"/>
        <item x="13"/>
        <item x="2"/>
        <item x="6"/>
        <item x="10"/>
        <item x="14"/>
        <item x="4"/>
        <item x="7"/>
        <item x="3"/>
        <item x="5"/>
        <item x="12"/>
        <item x="8"/>
        <item x="1"/>
        <item x="9"/>
        <item x="0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numFmtId="2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Inventory Value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5"/>
  <sheetViews>
    <sheetView tabSelected="1" topLeftCell="T1" zoomScaleNormal="100" workbookViewId="0">
      <pane ySplit="1" topLeftCell="A135" activePane="bottomLeft" state="frozen"/>
      <selection pane="bottomLeft" activeCell="M155" sqref="M155"/>
    </sheetView>
  </sheetViews>
  <sheetFormatPr defaultColWidth="8.6640625" defaultRowHeight="14.4" x14ac:dyDescent="0.3"/>
  <cols>
    <col min="1" max="1" width="12" customWidth="1"/>
    <col min="2" max="2" width="28" customWidth="1"/>
    <col min="3" max="3" width="20" customWidth="1"/>
    <col min="4" max="4" width="22" customWidth="1"/>
    <col min="5" max="5" width="16" customWidth="1"/>
    <col min="6" max="7" width="14" customWidth="1"/>
    <col min="8" max="8" width="15" customWidth="1"/>
    <col min="9" max="9" width="14" customWidth="1"/>
    <col min="10" max="10" width="16" customWidth="1"/>
    <col min="11" max="12" width="18" customWidth="1"/>
    <col min="14" max="14" width="14" customWidth="1"/>
  </cols>
  <sheetData>
    <row r="1" spans="1:13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.5" customHeight="1" x14ac:dyDescent="0.3">
      <c r="A2" s="2" t="s">
        <v>13</v>
      </c>
      <c r="B2" s="3" t="s">
        <v>14</v>
      </c>
      <c r="C2" s="3" t="s">
        <v>15</v>
      </c>
      <c r="D2" s="3" t="s">
        <v>16</v>
      </c>
      <c r="E2" s="4">
        <v>28477</v>
      </c>
      <c r="F2" s="2">
        <v>394</v>
      </c>
      <c r="G2" s="2">
        <v>27</v>
      </c>
      <c r="H2" s="5">
        <v>45543</v>
      </c>
      <c r="I2" s="5">
        <v>45901</v>
      </c>
      <c r="J2" s="2">
        <v>49</v>
      </c>
      <c r="K2" s="3" t="s">
        <v>17</v>
      </c>
      <c r="L2" s="2">
        <v>39</v>
      </c>
      <c r="M2" s="2" t="s">
        <v>18</v>
      </c>
    </row>
    <row r="3" spans="1:13" ht="13.5" customHeight="1" x14ac:dyDescent="0.3">
      <c r="A3" s="2" t="s">
        <v>19</v>
      </c>
      <c r="B3" s="3" t="s">
        <v>20</v>
      </c>
      <c r="C3" s="3" t="s">
        <v>21</v>
      </c>
      <c r="D3" s="3" t="s">
        <v>22</v>
      </c>
      <c r="E3" s="4">
        <v>29850</v>
      </c>
      <c r="F3" s="2">
        <v>267</v>
      </c>
      <c r="G3" s="2">
        <v>67</v>
      </c>
      <c r="H3" s="5">
        <v>45562</v>
      </c>
      <c r="I3" s="5">
        <v>45946</v>
      </c>
      <c r="J3" s="2">
        <v>152</v>
      </c>
      <c r="K3" s="3" t="s">
        <v>23</v>
      </c>
      <c r="L3" s="2">
        <v>36</v>
      </c>
      <c r="M3" s="2" t="s">
        <v>24</v>
      </c>
    </row>
    <row r="4" spans="1:13" ht="13.5" customHeight="1" x14ac:dyDescent="0.3">
      <c r="A4" s="2" t="s">
        <v>25</v>
      </c>
      <c r="B4" s="3" t="s">
        <v>26</v>
      </c>
      <c r="C4" s="3" t="s">
        <v>27</v>
      </c>
      <c r="D4" s="3" t="s">
        <v>22</v>
      </c>
      <c r="E4" s="4">
        <v>34181</v>
      </c>
      <c r="F4" s="2">
        <v>323</v>
      </c>
      <c r="G4" s="2">
        <v>38</v>
      </c>
      <c r="H4" s="5">
        <v>45297</v>
      </c>
      <c r="I4" s="5">
        <v>45341</v>
      </c>
      <c r="J4" s="2">
        <v>76</v>
      </c>
      <c r="K4" s="3" t="s">
        <v>28</v>
      </c>
      <c r="L4" s="2">
        <v>8</v>
      </c>
      <c r="M4" s="2" t="s">
        <v>29</v>
      </c>
    </row>
    <row r="5" spans="1:13" ht="13.5" customHeight="1" x14ac:dyDescent="0.3">
      <c r="A5" s="2" t="s">
        <v>30</v>
      </c>
      <c r="B5" s="3" t="s">
        <v>31</v>
      </c>
      <c r="C5" s="3" t="s">
        <v>27</v>
      </c>
      <c r="D5" s="3" t="s">
        <v>16</v>
      </c>
      <c r="E5" s="4">
        <v>12498</v>
      </c>
      <c r="F5" s="2">
        <v>13</v>
      </c>
      <c r="G5" s="2">
        <v>35</v>
      </c>
      <c r="H5" s="5">
        <v>45514</v>
      </c>
      <c r="I5" s="5">
        <v>45362</v>
      </c>
      <c r="J5" s="2">
        <v>118</v>
      </c>
      <c r="K5" s="3" t="s">
        <v>17</v>
      </c>
      <c r="L5" s="2">
        <v>2</v>
      </c>
      <c r="M5" s="2" t="s">
        <v>32</v>
      </c>
    </row>
    <row r="6" spans="1:13" ht="13.5" customHeight="1" x14ac:dyDescent="0.3">
      <c r="A6" s="2" t="s">
        <v>33</v>
      </c>
      <c r="B6" s="3" t="s">
        <v>34</v>
      </c>
      <c r="C6" s="3" t="s">
        <v>35</v>
      </c>
      <c r="D6" s="3" t="s">
        <v>16</v>
      </c>
      <c r="E6" s="4">
        <v>15725</v>
      </c>
      <c r="F6" s="2">
        <v>370</v>
      </c>
      <c r="G6" s="2">
        <v>51</v>
      </c>
      <c r="H6" s="5">
        <v>45400</v>
      </c>
      <c r="I6" s="5">
        <v>45731</v>
      </c>
      <c r="J6" s="2">
        <v>158</v>
      </c>
      <c r="K6" s="3" t="s">
        <v>36</v>
      </c>
      <c r="L6" s="2">
        <v>151</v>
      </c>
      <c r="M6" s="2" t="s">
        <v>37</v>
      </c>
    </row>
    <row r="7" spans="1:13" ht="13.5" customHeight="1" x14ac:dyDescent="0.3">
      <c r="A7" s="2" t="s">
        <v>38</v>
      </c>
      <c r="B7" s="3" t="s">
        <v>39</v>
      </c>
      <c r="C7" s="3" t="s">
        <v>40</v>
      </c>
      <c r="D7" s="3" t="s">
        <v>22</v>
      </c>
      <c r="E7" s="4">
        <v>40511</v>
      </c>
      <c r="F7" s="2">
        <v>81</v>
      </c>
      <c r="G7" s="2">
        <v>48</v>
      </c>
      <c r="H7" s="5">
        <v>45397</v>
      </c>
      <c r="I7" s="5">
        <v>46269</v>
      </c>
      <c r="J7" s="2">
        <v>110</v>
      </c>
      <c r="K7" s="3" t="s">
        <v>17</v>
      </c>
      <c r="L7" s="2">
        <v>7</v>
      </c>
      <c r="M7" s="2" t="s">
        <v>18</v>
      </c>
    </row>
    <row r="8" spans="1:13" ht="13.5" customHeight="1" x14ac:dyDescent="0.3">
      <c r="A8" s="2" t="s">
        <v>41</v>
      </c>
      <c r="B8" s="3" t="s">
        <v>42</v>
      </c>
      <c r="C8" s="3" t="s">
        <v>27</v>
      </c>
      <c r="D8" s="3" t="s">
        <v>43</v>
      </c>
      <c r="E8" s="4">
        <v>30717</v>
      </c>
      <c r="F8" s="2">
        <v>492</v>
      </c>
      <c r="G8" s="2">
        <v>57</v>
      </c>
      <c r="H8" s="5">
        <v>45540</v>
      </c>
      <c r="I8" s="5">
        <v>46278</v>
      </c>
      <c r="J8" s="2">
        <v>179</v>
      </c>
      <c r="K8" s="3" t="s">
        <v>23</v>
      </c>
      <c r="L8" s="2">
        <v>4</v>
      </c>
      <c r="M8" s="2" t="s">
        <v>18</v>
      </c>
    </row>
    <row r="9" spans="1:13" ht="13.5" customHeight="1" x14ac:dyDescent="0.3">
      <c r="A9" s="2" t="s">
        <v>44</v>
      </c>
      <c r="B9" s="3" t="s">
        <v>45</v>
      </c>
      <c r="C9" s="3" t="s">
        <v>46</v>
      </c>
      <c r="D9" s="3" t="s">
        <v>43</v>
      </c>
      <c r="E9" s="4">
        <v>29491</v>
      </c>
      <c r="F9" s="2">
        <v>199</v>
      </c>
      <c r="G9" s="2">
        <v>46</v>
      </c>
      <c r="H9" s="5">
        <v>45538</v>
      </c>
      <c r="I9" s="5">
        <v>45750</v>
      </c>
      <c r="J9" s="2">
        <v>30</v>
      </c>
      <c r="K9" s="3" t="s">
        <v>17</v>
      </c>
      <c r="L9" s="2">
        <v>8</v>
      </c>
      <c r="M9" s="2" t="s">
        <v>18</v>
      </c>
    </row>
    <row r="10" spans="1:13" ht="13.5" customHeight="1" x14ac:dyDescent="0.3">
      <c r="A10" s="2" t="s">
        <v>47</v>
      </c>
      <c r="B10" s="3" t="s">
        <v>48</v>
      </c>
      <c r="C10" s="3" t="s">
        <v>49</v>
      </c>
      <c r="D10" s="3" t="s">
        <v>50</v>
      </c>
      <c r="E10" s="2"/>
      <c r="F10" s="2">
        <v>269</v>
      </c>
      <c r="G10" s="2">
        <v>71</v>
      </c>
      <c r="H10" s="5">
        <v>45564</v>
      </c>
      <c r="I10" s="5">
        <v>45700</v>
      </c>
      <c r="J10" s="2">
        <v>82</v>
      </c>
      <c r="K10" s="3" t="s">
        <v>23</v>
      </c>
      <c r="L10" s="2">
        <v>6</v>
      </c>
      <c r="M10" s="2" t="s">
        <v>51</v>
      </c>
    </row>
    <row r="11" spans="1:13" ht="13.5" customHeight="1" x14ac:dyDescent="0.3">
      <c r="A11" s="2" t="s">
        <v>52</v>
      </c>
      <c r="B11" s="3" t="s">
        <v>39</v>
      </c>
      <c r="C11" s="3" t="s">
        <v>40</v>
      </c>
      <c r="D11" s="3" t="s">
        <v>53</v>
      </c>
      <c r="E11" s="4">
        <v>35215</v>
      </c>
      <c r="F11" s="2">
        <v>151</v>
      </c>
      <c r="G11" s="2">
        <v>28</v>
      </c>
      <c r="H11" s="5">
        <v>45317</v>
      </c>
      <c r="I11" s="5">
        <v>46246</v>
      </c>
      <c r="J11" s="2">
        <v>199</v>
      </c>
      <c r="K11" s="3" t="s">
        <v>36</v>
      </c>
      <c r="L11" s="2">
        <v>32</v>
      </c>
      <c r="M11" s="2" t="s">
        <v>18</v>
      </c>
    </row>
    <row r="12" spans="1:13" ht="13.5" customHeight="1" x14ac:dyDescent="0.3">
      <c r="A12" s="2" t="s">
        <v>54</v>
      </c>
      <c r="B12" s="3" t="s">
        <v>42</v>
      </c>
      <c r="C12" s="3" t="s">
        <v>27</v>
      </c>
      <c r="D12" s="3" t="s">
        <v>22</v>
      </c>
      <c r="E12" s="4">
        <v>39668</v>
      </c>
      <c r="F12" s="2">
        <v>37</v>
      </c>
      <c r="G12" s="2">
        <v>49</v>
      </c>
      <c r="H12" s="5">
        <v>45310</v>
      </c>
      <c r="I12" s="5">
        <v>46343</v>
      </c>
      <c r="J12" s="2">
        <v>123</v>
      </c>
      <c r="K12" s="3" t="s">
        <v>28</v>
      </c>
      <c r="L12" s="2">
        <v>10</v>
      </c>
      <c r="M12" s="2" t="s">
        <v>32</v>
      </c>
    </row>
    <row r="13" spans="1:13" ht="13.5" customHeight="1" x14ac:dyDescent="0.3">
      <c r="A13" s="2" t="s">
        <v>55</v>
      </c>
      <c r="B13" s="3" t="s">
        <v>56</v>
      </c>
      <c r="C13" s="3" t="s">
        <v>27</v>
      </c>
      <c r="D13" s="3" t="s">
        <v>50</v>
      </c>
      <c r="E13" s="4">
        <v>7566</v>
      </c>
      <c r="F13" s="2">
        <v>169</v>
      </c>
      <c r="G13" s="2">
        <v>24</v>
      </c>
      <c r="H13" s="5">
        <v>45425</v>
      </c>
      <c r="I13" s="5">
        <v>45435</v>
      </c>
      <c r="J13" s="2">
        <v>132</v>
      </c>
      <c r="K13" s="3" t="s">
        <v>23</v>
      </c>
      <c r="L13" s="2">
        <v>31</v>
      </c>
      <c r="M13" s="2" t="s">
        <v>29</v>
      </c>
    </row>
    <row r="14" spans="1:13" ht="13.5" customHeight="1" x14ac:dyDescent="0.3">
      <c r="A14" s="2" t="s">
        <v>57</v>
      </c>
      <c r="B14" s="3" t="s">
        <v>39</v>
      </c>
      <c r="C14" s="3" t="s">
        <v>40</v>
      </c>
      <c r="D14" s="3" t="s">
        <v>22</v>
      </c>
      <c r="E14" s="2"/>
      <c r="F14" s="2">
        <v>212</v>
      </c>
      <c r="G14" s="2">
        <v>26</v>
      </c>
      <c r="H14" s="5">
        <v>45302</v>
      </c>
      <c r="I14" s="5">
        <v>45869</v>
      </c>
      <c r="J14" s="2">
        <v>71</v>
      </c>
      <c r="K14" s="3" t="s">
        <v>28</v>
      </c>
      <c r="L14" s="2">
        <v>8</v>
      </c>
      <c r="M14" s="2" t="s">
        <v>18</v>
      </c>
    </row>
    <row r="15" spans="1:13" ht="13.5" customHeight="1" x14ac:dyDescent="0.3">
      <c r="A15" s="2" t="s">
        <v>58</v>
      </c>
      <c r="B15" s="3" t="s">
        <v>59</v>
      </c>
      <c r="C15" s="3" t="s">
        <v>40</v>
      </c>
      <c r="D15" s="3" t="s">
        <v>16</v>
      </c>
      <c r="E15" s="4">
        <v>31607</v>
      </c>
      <c r="F15" s="2">
        <v>105</v>
      </c>
      <c r="G15" s="2">
        <v>21</v>
      </c>
      <c r="H15" s="5">
        <v>45341</v>
      </c>
      <c r="I15" s="5">
        <v>45860</v>
      </c>
      <c r="J15" s="2">
        <v>24</v>
      </c>
      <c r="K15" s="3" t="s">
        <v>28</v>
      </c>
      <c r="L15" s="2">
        <v>7</v>
      </c>
      <c r="M15" s="2" t="s">
        <v>18</v>
      </c>
    </row>
    <row r="16" spans="1:13" ht="13.5" customHeight="1" x14ac:dyDescent="0.3">
      <c r="A16" s="2" t="s">
        <v>60</v>
      </c>
      <c r="B16" s="3" t="s">
        <v>61</v>
      </c>
      <c r="C16" s="3" t="s">
        <v>62</v>
      </c>
      <c r="D16" s="3" t="s">
        <v>16</v>
      </c>
      <c r="E16" s="4">
        <v>15002</v>
      </c>
      <c r="F16" s="2">
        <v>497</v>
      </c>
      <c r="G16" s="2">
        <v>76</v>
      </c>
      <c r="H16" s="5">
        <v>45301</v>
      </c>
      <c r="I16" s="5">
        <v>45890</v>
      </c>
      <c r="J16" s="2">
        <v>42</v>
      </c>
      <c r="K16" s="3" t="s">
        <v>23</v>
      </c>
      <c r="L16" s="2">
        <v>13</v>
      </c>
      <c r="M16" s="2" t="s">
        <v>18</v>
      </c>
    </row>
    <row r="17" spans="1:13" ht="13.5" customHeight="1" x14ac:dyDescent="0.3">
      <c r="A17" s="2" t="s">
        <v>63</v>
      </c>
      <c r="B17" s="3" t="s">
        <v>48</v>
      </c>
      <c r="C17" s="3" t="s">
        <v>49</v>
      </c>
      <c r="D17" s="3" t="s">
        <v>53</v>
      </c>
      <c r="E17" s="4">
        <v>4167</v>
      </c>
      <c r="F17" s="2">
        <v>148</v>
      </c>
      <c r="G17" s="2">
        <v>53</v>
      </c>
      <c r="H17" s="5">
        <v>45514</v>
      </c>
      <c r="I17" s="5">
        <v>45839</v>
      </c>
      <c r="J17" s="2">
        <v>23</v>
      </c>
      <c r="K17" s="3" t="s">
        <v>36</v>
      </c>
      <c r="L17" s="2">
        <v>3</v>
      </c>
      <c r="M17" s="2" t="s">
        <v>18</v>
      </c>
    </row>
    <row r="18" spans="1:13" ht="13.5" customHeight="1" x14ac:dyDescent="0.3">
      <c r="A18" s="2" t="s">
        <v>64</v>
      </c>
      <c r="B18" s="3" t="s">
        <v>65</v>
      </c>
      <c r="C18" s="3" t="s">
        <v>66</v>
      </c>
      <c r="D18" s="3" t="s">
        <v>22</v>
      </c>
      <c r="E18" s="4">
        <v>17917</v>
      </c>
      <c r="F18" s="2">
        <v>51</v>
      </c>
      <c r="G18" s="2">
        <v>28</v>
      </c>
      <c r="H18" s="5">
        <v>45310</v>
      </c>
      <c r="I18" s="5">
        <v>46140</v>
      </c>
      <c r="J18" s="2">
        <v>17</v>
      </c>
      <c r="K18" s="3" t="s">
        <v>17</v>
      </c>
      <c r="L18" s="2">
        <v>2</v>
      </c>
      <c r="M18" s="2" t="s">
        <v>18</v>
      </c>
    </row>
    <row r="19" spans="1:13" ht="13.5" customHeight="1" x14ac:dyDescent="0.3">
      <c r="A19" s="2" t="s">
        <v>67</v>
      </c>
      <c r="B19" s="3" t="s">
        <v>68</v>
      </c>
      <c r="C19" s="3" t="s">
        <v>40</v>
      </c>
      <c r="D19" s="3" t="s">
        <v>43</v>
      </c>
      <c r="E19" s="4">
        <v>37697</v>
      </c>
      <c r="F19" s="2">
        <v>463</v>
      </c>
      <c r="G19" s="2">
        <v>22</v>
      </c>
      <c r="H19" s="5">
        <v>45538</v>
      </c>
      <c r="I19" s="5">
        <v>45871</v>
      </c>
      <c r="J19" s="2">
        <v>42</v>
      </c>
      <c r="K19" s="3" t="s">
        <v>36</v>
      </c>
      <c r="L19" s="2">
        <v>6</v>
      </c>
      <c r="M19" s="2" t="s">
        <v>51</v>
      </c>
    </row>
    <row r="20" spans="1:13" ht="13.5" customHeight="1" x14ac:dyDescent="0.3">
      <c r="A20" s="2" t="s">
        <v>69</v>
      </c>
      <c r="B20" s="3" t="s">
        <v>70</v>
      </c>
      <c r="C20" s="3" t="s">
        <v>15</v>
      </c>
      <c r="D20" s="3" t="s">
        <v>43</v>
      </c>
      <c r="E20" s="4">
        <v>31598</v>
      </c>
      <c r="F20" s="2">
        <v>208</v>
      </c>
      <c r="G20" s="2">
        <v>52</v>
      </c>
      <c r="H20" s="5">
        <v>45582</v>
      </c>
      <c r="I20" s="5">
        <v>46027</v>
      </c>
      <c r="J20" s="2">
        <v>81</v>
      </c>
      <c r="K20" s="3" t="s">
        <v>28</v>
      </c>
      <c r="L20" s="2">
        <v>39</v>
      </c>
      <c r="M20" s="2" t="s">
        <v>71</v>
      </c>
    </row>
    <row r="21" spans="1:13" ht="13.5" customHeight="1" x14ac:dyDescent="0.3">
      <c r="A21" s="2" t="s">
        <v>72</v>
      </c>
      <c r="B21" s="3" t="s">
        <v>73</v>
      </c>
      <c r="C21" s="3" t="s">
        <v>40</v>
      </c>
      <c r="D21" s="3" t="s">
        <v>53</v>
      </c>
      <c r="E21" s="4">
        <v>29711</v>
      </c>
      <c r="F21" s="2">
        <v>381</v>
      </c>
      <c r="G21" s="2">
        <v>47</v>
      </c>
      <c r="H21" s="5">
        <v>45363</v>
      </c>
      <c r="I21" s="5">
        <v>45950</v>
      </c>
      <c r="J21" s="2">
        <v>101</v>
      </c>
      <c r="K21" s="3" t="s">
        <v>36</v>
      </c>
      <c r="L21" s="2">
        <v>29</v>
      </c>
      <c r="M21" s="2" t="s">
        <v>18</v>
      </c>
    </row>
    <row r="22" spans="1:13" ht="13.5" customHeight="1" x14ac:dyDescent="0.3">
      <c r="A22" s="2" t="s">
        <v>74</v>
      </c>
      <c r="B22" s="3" t="s">
        <v>75</v>
      </c>
      <c r="C22" s="3" t="s">
        <v>76</v>
      </c>
      <c r="D22" s="3" t="s">
        <v>53</v>
      </c>
      <c r="E22" s="4">
        <v>12790</v>
      </c>
      <c r="F22" s="2">
        <v>84</v>
      </c>
      <c r="G22" s="2">
        <v>70</v>
      </c>
      <c r="H22" s="5">
        <v>45576</v>
      </c>
      <c r="I22" s="5">
        <v>45918</v>
      </c>
      <c r="J22" s="2">
        <v>52</v>
      </c>
      <c r="K22" s="3" t="s">
        <v>36</v>
      </c>
      <c r="L22" s="2">
        <v>4</v>
      </c>
      <c r="M22" s="2" t="s">
        <v>18</v>
      </c>
    </row>
    <row r="23" spans="1:13" ht="13.5" customHeight="1" x14ac:dyDescent="0.3">
      <c r="A23" s="2" t="s">
        <v>77</v>
      </c>
      <c r="B23" s="3" t="s">
        <v>14</v>
      </c>
      <c r="C23" s="3" t="s">
        <v>15</v>
      </c>
      <c r="D23" s="3" t="s">
        <v>50</v>
      </c>
      <c r="E23" s="4">
        <v>7191</v>
      </c>
      <c r="F23" s="2">
        <v>334</v>
      </c>
      <c r="G23" s="2">
        <v>33</v>
      </c>
      <c r="H23" s="5">
        <v>45495</v>
      </c>
      <c r="I23" s="5">
        <v>46203</v>
      </c>
      <c r="J23" s="2">
        <v>36</v>
      </c>
      <c r="K23" s="3" t="s">
        <v>28</v>
      </c>
      <c r="L23" s="2">
        <v>13</v>
      </c>
      <c r="M23" s="2" t="s">
        <v>71</v>
      </c>
    </row>
    <row r="24" spans="1:13" ht="13.5" customHeight="1" x14ac:dyDescent="0.3">
      <c r="A24" s="2" t="s">
        <v>78</v>
      </c>
      <c r="B24" s="3" t="s">
        <v>79</v>
      </c>
      <c r="C24" s="3" t="s">
        <v>15</v>
      </c>
      <c r="D24" s="3" t="s">
        <v>43</v>
      </c>
      <c r="E24" s="2"/>
      <c r="F24" s="2">
        <v>391</v>
      </c>
      <c r="G24" s="2">
        <v>62</v>
      </c>
      <c r="H24" s="5">
        <v>45382</v>
      </c>
      <c r="I24" s="5">
        <v>46185</v>
      </c>
      <c r="J24" s="2">
        <v>156</v>
      </c>
      <c r="K24" s="3" t="s">
        <v>17</v>
      </c>
      <c r="L24" s="2">
        <v>119</v>
      </c>
      <c r="M24" s="2" t="s">
        <v>18</v>
      </c>
    </row>
    <row r="25" spans="1:13" ht="13.5" customHeight="1" x14ac:dyDescent="0.3">
      <c r="A25" s="2" t="s">
        <v>80</v>
      </c>
      <c r="B25" s="3" t="s">
        <v>81</v>
      </c>
      <c r="C25" s="3" t="s">
        <v>82</v>
      </c>
      <c r="D25" s="3" t="s">
        <v>22</v>
      </c>
      <c r="E25" s="4">
        <v>15442</v>
      </c>
      <c r="F25" s="2">
        <v>244</v>
      </c>
      <c r="G25" s="2">
        <v>41</v>
      </c>
      <c r="H25" s="5">
        <v>45478</v>
      </c>
      <c r="I25" s="5">
        <v>46189</v>
      </c>
      <c r="J25" s="2">
        <v>32</v>
      </c>
      <c r="K25" s="3" t="s">
        <v>17</v>
      </c>
      <c r="L25" s="2">
        <v>6</v>
      </c>
      <c r="M25" s="2" t="s">
        <v>18</v>
      </c>
    </row>
    <row r="26" spans="1:13" ht="13.5" customHeight="1" x14ac:dyDescent="0.3">
      <c r="A26" s="2" t="s">
        <v>83</v>
      </c>
      <c r="B26" s="3" t="s">
        <v>84</v>
      </c>
      <c r="C26" s="3" t="s">
        <v>27</v>
      </c>
      <c r="D26" s="3" t="s">
        <v>22</v>
      </c>
      <c r="E26" s="4">
        <v>5094</v>
      </c>
      <c r="F26" s="2">
        <v>187</v>
      </c>
      <c r="G26" s="2">
        <v>56</v>
      </c>
      <c r="H26" s="5">
        <v>45503</v>
      </c>
      <c r="I26" s="5">
        <v>45955</v>
      </c>
      <c r="J26" s="2">
        <v>85</v>
      </c>
      <c r="K26" s="3" t="s">
        <v>28</v>
      </c>
      <c r="L26" s="2">
        <v>48</v>
      </c>
      <c r="M26" s="2" t="s">
        <v>18</v>
      </c>
    </row>
    <row r="27" spans="1:13" ht="13.5" customHeight="1" x14ac:dyDescent="0.3">
      <c r="A27" s="2" t="s">
        <v>85</v>
      </c>
      <c r="B27" s="3" t="s">
        <v>86</v>
      </c>
      <c r="C27" s="3" t="s">
        <v>27</v>
      </c>
      <c r="D27" s="3" t="s">
        <v>50</v>
      </c>
      <c r="E27" s="4">
        <v>11416</v>
      </c>
      <c r="F27" s="2">
        <v>104</v>
      </c>
      <c r="G27" s="2">
        <v>49</v>
      </c>
      <c r="H27" s="5">
        <v>45387</v>
      </c>
      <c r="I27" s="5">
        <v>46027</v>
      </c>
      <c r="J27" s="2">
        <v>37</v>
      </c>
      <c r="K27" s="3" t="s">
        <v>28</v>
      </c>
      <c r="L27" s="2">
        <v>34</v>
      </c>
      <c r="M27" s="2" t="s">
        <v>18</v>
      </c>
    </row>
    <row r="28" spans="1:13" ht="13.5" customHeight="1" x14ac:dyDescent="0.3">
      <c r="A28" s="2" t="s">
        <v>87</v>
      </c>
      <c r="B28" s="3" t="s">
        <v>81</v>
      </c>
      <c r="C28" s="3" t="s">
        <v>82</v>
      </c>
      <c r="D28" s="3" t="s">
        <v>22</v>
      </c>
      <c r="E28" s="4">
        <v>37253</v>
      </c>
      <c r="F28" s="2">
        <v>61</v>
      </c>
      <c r="G28" s="2">
        <v>58</v>
      </c>
      <c r="H28" s="5">
        <v>45542</v>
      </c>
      <c r="I28" s="5">
        <v>45317</v>
      </c>
      <c r="J28" s="2">
        <v>144</v>
      </c>
      <c r="K28" s="3" t="s">
        <v>23</v>
      </c>
      <c r="L28" s="2">
        <v>70</v>
      </c>
      <c r="M28" s="2" t="s">
        <v>29</v>
      </c>
    </row>
    <row r="29" spans="1:13" ht="13.5" customHeight="1" x14ac:dyDescent="0.3">
      <c r="A29" s="2" t="s">
        <v>88</v>
      </c>
      <c r="B29" s="3" t="s">
        <v>14</v>
      </c>
      <c r="C29" s="3" t="s">
        <v>15</v>
      </c>
      <c r="D29" s="3" t="s">
        <v>53</v>
      </c>
      <c r="E29" s="4">
        <v>27993</v>
      </c>
      <c r="F29" s="2"/>
      <c r="G29" s="2">
        <v>35</v>
      </c>
      <c r="H29" s="5">
        <v>45474</v>
      </c>
      <c r="I29" s="5">
        <v>46294</v>
      </c>
      <c r="J29" s="2">
        <v>83</v>
      </c>
      <c r="K29" s="3" t="s">
        <v>36</v>
      </c>
      <c r="L29" s="2">
        <v>54</v>
      </c>
      <c r="M29" s="2" t="s">
        <v>18</v>
      </c>
    </row>
    <row r="30" spans="1:13" ht="13.5" customHeight="1" x14ac:dyDescent="0.3">
      <c r="A30" s="2" t="s">
        <v>89</v>
      </c>
      <c r="B30" s="3" t="s">
        <v>65</v>
      </c>
      <c r="C30" s="3" t="s">
        <v>66</v>
      </c>
      <c r="D30" s="3" t="s">
        <v>43</v>
      </c>
      <c r="E30" s="4">
        <v>4582</v>
      </c>
      <c r="F30" s="2">
        <v>89</v>
      </c>
      <c r="G30" s="2">
        <v>52</v>
      </c>
      <c r="H30" s="5">
        <v>45365</v>
      </c>
      <c r="I30" s="5">
        <v>45989</v>
      </c>
      <c r="J30" s="2">
        <v>165</v>
      </c>
      <c r="K30" s="3" t="s">
        <v>23</v>
      </c>
      <c r="L30" s="2">
        <v>33</v>
      </c>
      <c r="M30" s="2" t="s">
        <v>18</v>
      </c>
    </row>
    <row r="31" spans="1:13" ht="13.5" customHeight="1" x14ac:dyDescent="0.3">
      <c r="A31" s="2" t="s">
        <v>90</v>
      </c>
      <c r="B31" s="3" t="s">
        <v>45</v>
      </c>
      <c r="C31" s="3" t="s">
        <v>46</v>
      </c>
      <c r="D31" s="3" t="s">
        <v>43</v>
      </c>
      <c r="E31" s="4">
        <v>12777</v>
      </c>
      <c r="F31" s="2">
        <v>202</v>
      </c>
      <c r="G31" s="2">
        <v>45</v>
      </c>
      <c r="H31" s="5">
        <v>45378</v>
      </c>
      <c r="I31" s="5">
        <v>46082</v>
      </c>
      <c r="J31" s="2">
        <v>99</v>
      </c>
      <c r="K31" s="3" t="s">
        <v>91</v>
      </c>
      <c r="L31" s="2">
        <v>82</v>
      </c>
      <c r="M31" s="2" t="s">
        <v>51</v>
      </c>
    </row>
    <row r="32" spans="1:13" ht="13.5" customHeight="1" x14ac:dyDescent="0.3">
      <c r="A32" s="2" t="s">
        <v>92</v>
      </c>
      <c r="B32" s="3" t="s">
        <v>93</v>
      </c>
      <c r="C32" s="3" t="s">
        <v>27</v>
      </c>
      <c r="D32" s="3" t="s">
        <v>53</v>
      </c>
      <c r="E32" s="4">
        <v>24778</v>
      </c>
      <c r="F32" s="2">
        <v>161</v>
      </c>
      <c r="G32" s="2">
        <v>52</v>
      </c>
      <c r="H32" s="5">
        <v>45551</v>
      </c>
      <c r="I32" s="5">
        <v>46385</v>
      </c>
      <c r="J32" s="2">
        <v>34</v>
      </c>
      <c r="K32" s="3" t="s">
        <v>91</v>
      </c>
      <c r="L32" s="2">
        <v>29</v>
      </c>
      <c r="M32" s="2" t="s">
        <v>18</v>
      </c>
    </row>
    <row r="33" spans="1:13" ht="13.5" customHeight="1" x14ac:dyDescent="0.3">
      <c r="A33" s="2" t="s">
        <v>94</v>
      </c>
      <c r="B33" s="3" t="s">
        <v>39</v>
      </c>
      <c r="C33" s="3" t="s">
        <v>40</v>
      </c>
      <c r="D33" s="3" t="s">
        <v>22</v>
      </c>
      <c r="E33" s="2"/>
      <c r="F33" s="2">
        <v>279</v>
      </c>
      <c r="G33" s="2">
        <v>23</v>
      </c>
      <c r="H33" s="5">
        <v>45444</v>
      </c>
      <c r="I33" s="5">
        <v>45913</v>
      </c>
      <c r="J33" s="2">
        <v>137</v>
      </c>
      <c r="K33" s="3" t="s">
        <v>23</v>
      </c>
      <c r="L33" s="2">
        <v>0</v>
      </c>
      <c r="M33" s="2" t="s">
        <v>18</v>
      </c>
    </row>
    <row r="34" spans="1:13" ht="13.5" customHeight="1" x14ac:dyDescent="0.3">
      <c r="A34" s="2" t="s">
        <v>95</v>
      </c>
      <c r="B34" s="3" t="s">
        <v>73</v>
      </c>
      <c r="C34" s="3" t="s">
        <v>40</v>
      </c>
      <c r="D34" s="3" t="s">
        <v>50</v>
      </c>
      <c r="E34" s="4">
        <v>9138</v>
      </c>
      <c r="F34" s="2">
        <v>87</v>
      </c>
      <c r="G34" s="2">
        <v>63</v>
      </c>
      <c r="H34" s="5">
        <v>45334</v>
      </c>
      <c r="I34" s="5">
        <v>45305</v>
      </c>
      <c r="J34" s="2">
        <v>111</v>
      </c>
      <c r="K34" s="3" t="s">
        <v>91</v>
      </c>
      <c r="L34" s="2">
        <v>73</v>
      </c>
      <c r="M34" s="2" t="s">
        <v>29</v>
      </c>
    </row>
    <row r="35" spans="1:13" ht="13.5" customHeight="1" x14ac:dyDescent="0.3">
      <c r="A35" s="2" t="s">
        <v>96</v>
      </c>
      <c r="B35" s="3" t="s">
        <v>70</v>
      </c>
      <c r="C35" s="3" t="s">
        <v>15</v>
      </c>
      <c r="D35" s="3" t="s">
        <v>43</v>
      </c>
      <c r="E35" s="4">
        <v>34643</v>
      </c>
      <c r="F35" s="2">
        <v>14</v>
      </c>
      <c r="G35" s="2">
        <v>54</v>
      </c>
      <c r="H35" s="5">
        <v>45424</v>
      </c>
      <c r="I35" s="5">
        <v>45919</v>
      </c>
      <c r="J35" s="2">
        <v>73</v>
      </c>
      <c r="K35" s="3" t="s">
        <v>36</v>
      </c>
      <c r="L35" s="2">
        <v>23</v>
      </c>
      <c r="M35" s="2" t="s">
        <v>32</v>
      </c>
    </row>
    <row r="36" spans="1:13" ht="13.5" customHeight="1" x14ac:dyDescent="0.3">
      <c r="A36" s="2" t="s">
        <v>97</v>
      </c>
      <c r="B36" s="3" t="s">
        <v>93</v>
      </c>
      <c r="C36" s="3" t="s">
        <v>27</v>
      </c>
      <c r="D36" s="3" t="s">
        <v>53</v>
      </c>
      <c r="E36" s="4">
        <v>38862</v>
      </c>
      <c r="F36" s="2">
        <v>47</v>
      </c>
      <c r="G36" s="2">
        <v>36</v>
      </c>
      <c r="H36" s="5">
        <v>45360</v>
      </c>
      <c r="I36" s="5">
        <v>45870</v>
      </c>
      <c r="J36" s="2">
        <v>162</v>
      </c>
      <c r="K36" s="3" t="s">
        <v>17</v>
      </c>
      <c r="L36" s="2">
        <v>13</v>
      </c>
      <c r="M36" s="2" t="s">
        <v>51</v>
      </c>
    </row>
    <row r="37" spans="1:13" ht="13.5" customHeight="1" x14ac:dyDescent="0.3">
      <c r="A37" s="2" t="s">
        <v>98</v>
      </c>
      <c r="B37" s="3" t="s">
        <v>39</v>
      </c>
      <c r="C37" s="3" t="s">
        <v>40</v>
      </c>
      <c r="D37" s="3" t="s">
        <v>53</v>
      </c>
      <c r="E37" s="2"/>
      <c r="F37" s="2">
        <v>306</v>
      </c>
      <c r="G37" s="2">
        <v>30</v>
      </c>
      <c r="H37" s="5">
        <v>45362</v>
      </c>
      <c r="I37" s="5">
        <v>45825</v>
      </c>
      <c r="J37" s="2">
        <v>68</v>
      </c>
      <c r="K37" s="3" t="s">
        <v>91</v>
      </c>
      <c r="L37" s="2">
        <v>35</v>
      </c>
      <c r="M37" s="2" t="s">
        <v>18</v>
      </c>
    </row>
    <row r="38" spans="1:13" ht="13.5" customHeight="1" x14ac:dyDescent="0.3">
      <c r="A38" s="2" t="s">
        <v>99</v>
      </c>
      <c r="B38" s="3" t="s">
        <v>70</v>
      </c>
      <c r="C38" s="3" t="s">
        <v>15</v>
      </c>
      <c r="D38" s="3" t="s">
        <v>53</v>
      </c>
      <c r="E38" s="4">
        <v>28328</v>
      </c>
      <c r="F38" s="2">
        <v>95</v>
      </c>
      <c r="G38" s="2">
        <v>21</v>
      </c>
      <c r="H38" s="5">
        <v>45322</v>
      </c>
      <c r="I38" s="5">
        <v>46056</v>
      </c>
      <c r="J38" s="2">
        <v>121</v>
      </c>
      <c r="K38" s="3" t="s">
        <v>91</v>
      </c>
      <c r="L38" s="2">
        <v>42</v>
      </c>
      <c r="M38" s="2" t="s">
        <v>18</v>
      </c>
    </row>
    <row r="39" spans="1:13" ht="13.5" customHeight="1" x14ac:dyDescent="0.3">
      <c r="A39" s="2" t="s">
        <v>100</v>
      </c>
      <c r="B39" s="3" t="s">
        <v>86</v>
      </c>
      <c r="C39" s="3" t="s">
        <v>27</v>
      </c>
      <c r="D39" s="3" t="s">
        <v>43</v>
      </c>
      <c r="E39" s="4">
        <v>42806</v>
      </c>
      <c r="F39" s="2">
        <v>47</v>
      </c>
      <c r="G39" s="2">
        <v>24</v>
      </c>
      <c r="H39" s="5">
        <v>45421</v>
      </c>
      <c r="I39" s="5">
        <v>46381</v>
      </c>
      <c r="J39" s="2">
        <v>133</v>
      </c>
      <c r="K39" s="3" t="s">
        <v>23</v>
      </c>
      <c r="L39" s="2">
        <v>60</v>
      </c>
      <c r="M39" s="2" t="s">
        <v>18</v>
      </c>
    </row>
    <row r="40" spans="1:13" ht="13.5" customHeight="1" x14ac:dyDescent="0.3">
      <c r="A40" s="2" t="s">
        <v>101</v>
      </c>
      <c r="B40" s="3" t="s">
        <v>102</v>
      </c>
      <c r="C40" s="3" t="s">
        <v>103</v>
      </c>
      <c r="D40" s="3" t="s">
        <v>22</v>
      </c>
      <c r="E40" s="4">
        <v>36471</v>
      </c>
      <c r="F40" s="2">
        <v>312</v>
      </c>
      <c r="G40" s="2">
        <v>67</v>
      </c>
      <c r="H40" s="5">
        <v>45361</v>
      </c>
      <c r="I40" s="5">
        <v>46142</v>
      </c>
      <c r="J40" s="2">
        <v>147</v>
      </c>
      <c r="K40" s="3" t="s">
        <v>36</v>
      </c>
      <c r="L40" s="2">
        <v>45</v>
      </c>
      <c r="M40" s="2" t="s">
        <v>18</v>
      </c>
    </row>
    <row r="41" spans="1:13" ht="13.5" customHeight="1" x14ac:dyDescent="0.3">
      <c r="A41" s="2" t="s">
        <v>104</v>
      </c>
      <c r="B41" s="3" t="s">
        <v>26</v>
      </c>
      <c r="C41" s="3" t="s">
        <v>27</v>
      </c>
      <c r="D41" s="3" t="s">
        <v>43</v>
      </c>
      <c r="E41" s="4">
        <v>4845</v>
      </c>
      <c r="F41" s="2">
        <v>346</v>
      </c>
      <c r="G41" s="2">
        <v>22</v>
      </c>
      <c r="H41" s="5">
        <v>45449</v>
      </c>
      <c r="I41" s="5">
        <v>46282</v>
      </c>
      <c r="J41" s="2">
        <v>107</v>
      </c>
      <c r="K41" s="3" t="s">
        <v>91</v>
      </c>
      <c r="L41" s="2">
        <v>12</v>
      </c>
      <c r="M41" s="2" t="s">
        <v>24</v>
      </c>
    </row>
    <row r="42" spans="1:13" ht="13.5" customHeight="1" x14ac:dyDescent="0.3">
      <c r="A42" s="2" t="s">
        <v>105</v>
      </c>
      <c r="B42" s="3" t="s">
        <v>106</v>
      </c>
      <c r="C42" s="3" t="s">
        <v>49</v>
      </c>
      <c r="D42" s="3" t="s">
        <v>22</v>
      </c>
      <c r="E42" s="4">
        <v>44921</v>
      </c>
      <c r="F42" s="2">
        <v>291</v>
      </c>
      <c r="G42" s="2">
        <v>74</v>
      </c>
      <c r="H42" s="5">
        <v>45516</v>
      </c>
      <c r="I42" s="5">
        <v>45694</v>
      </c>
      <c r="J42" s="2">
        <v>163</v>
      </c>
      <c r="K42" s="3" t="s">
        <v>91</v>
      </c>
      <c r="L42" s="2">
        <v>159</v>
      </c>
      <c r="M42" s="2" t="s">
        <v>37</v>
      </c>
    </row>
    <row r="43" spans="1:13" ht="13.5" customHeight="1" x14ac:dyDescent="0.3">
      <c r="A43" s="2" t="s">
        <v>107</v>
      </c>
      <c r="B43" s="3" t="s">
        <v>93</v>
      </c>
      <c r="C43" s="3" t="s">
        <v>27</v>
      </c>
      <c r="D43" s="3" t="s">
        <v>22</v>
      </c>
      <c r="E43" s="4">
        <v>6602</v>
      </c>
      <c r="F43" s="2">
        <v>241</v>
      </c>
      <c r="G43" s="2">
        <v>61</v>
      </c>
      <c r="H43" s="5">
        <v>45468</v>
      </c>
      <c r="I43" s="5">
        <v>46292</v>
      </c>
      <c r="J43" s="2">
        <v>16</v>
      </c>
      <c r="K43" s="3" t="s">
        <v>23</v>
      </c>
      <c r="L43" s="2">
        <v>4</v>
      </c>
      <c r="M43" s="2" t="s">
        <v>18</v>
      </c>
    </row>
    <row r="44" spans="1:13" ht="13.5" customHeight="1" x14ac:dyDescent="0.3">
      <c r="A44" s="2" t="s">
        <v>108</v>
      </c>
      <c r="B44" s="3" t="s">
        <v>48</v>
      </c>
      <c r="C44" s="3" t="s">
        <v>49</v>
      </c>
      <c r="D44" s="3" t="s">
        <v>53</v>
      </c>
      <c r="E44" s="4">
        <v>12044</v>
      </c>
      <c r="F44" s="2">
        <v>191</v>
      </c>
      <c r="G44" s="2">
        <v>63</v>
      </c>
      <c r="H44" s="5">
        <v>45439</v>
      </c>
      <c r="I44" s="5">
        <v>45956</v>
      </c>
      <c r="J44" s="2">
        <v>56</v>
      </c>
      <c r="K44" s="3" t="s">
        <v>28</v>
      </c>
      <c r="L44" s="2">
        <v>2</v>
      </c>
      <c r="M44" s="2" t="s">
        <v>18</v>
      </c>
    </row>
    <row r="45" spans="1:13" ht="13.5" customHeight="1" x14ac:dyDescent="0.3">
      <c r="A45" s="2" t="s">
        <v>109</v>
      </c>
      <c r="B45" s="3" t="s">
        <v>81</v>
      </c>
      <c r="C45" s="3" t="s">
        <v>82</v>
      </c>
      <c r="D45" s="3" t="s">
        <v>43</v>
      </c>
      <c r="E45" s="4">
        <v>28959</v>
      </c>
      <c r="F45" s="2">
        <v>422</v>
      </c>
      <c r="G45" s="2">
        <v>41</v>
      </c>
      <c r="H45" s="5">
        <v>45339</v>
      </c>
      <c r="I45" s="5">
        <v>45817</v>
      </c>
      <c r="J45" s="2">
        <v>89</v>
      </c>
      <c r="K45" s="3" t="s">
        <v>36</v>
      </c>
      <c r="L45" s="2">
        <v>15</v>
      </c>
      <c r="M45" s="2" t="s">
        <v>18</v>
      </c>
    </row>
    <row r="46" spans="1:13" ht="13.5" customHeight="1" x14ac:dyDescent="0.3">
      <c r="A46" s="2" t="s">
        <v>110</v>
      </c>
      <c r="B46" s="3" t="s">
        <v>111</v>
      </c>
      <c r="C46" s="3" t="s">
        <v>62</v>
      </c>
      <c r="D46" s="3" t="s">
        <v>43</v>
      </c>
      <c r="E46" s="4">
        <v>23291</v>
      </c>
      <c r="F46" s="2">
        <v>335</v>
      </c>
      <c r="G46" s="2">
        <v>73</v>
      </c>
      <c r="H46" s="5">
        <v>45298</v>
      </c>
      <c r="I46" s="5">
        <v>46052</v>
      </c>
      <c r="J46" s="2">
        <v>116</v>
      </c>
      <c r="K46" s="3" t="s">
        <v>28</v>
      </c>
      <c r="L46" s="2">
        <v>74</v>
      </c>
      <c r="M46" s="2" t="s">
        <v>18</v>
      </c>
    </row>
    <row r="47" spans="1:13" ht="13.5" customHeight="1" x14ac:dyDescent="0.3">
      <c r="A47" s="2" t="s">
        <v>112</v>
      </c>
      <c r="B47" s="3" t="s">
        <v>113</v>
      </c>
      <c r="C47" s="3" t="s">
        <v>114</v>
      </c>
      <c r="D47" s="3" t="s">
        <v>43</v>
      </c>
      <c r="E47" s="4">
        <v>7172</v>
      </c>
      <c r="F47" s="2">
        <v>268</v>
      </c>
      <c r="G47" s="2">
        <v>65</v>
      </c>
      <c r="H47" s="5">
        <v>45430</v>
      </c>
      <c r="I47" s="5">
        <v>46029</v>
      </c>
      <c r="J47" s="2">
        <v>170</v>
      </c>
      <c r="K47" s="3" t="s">
        <v>36</v>
      </c>
      <c r="L47" s="2">
        <v>108</v>
      </c>
      <c r="M47" s="2" t="s">
        <v>18</v>
      </c>
    </row>
    <row r="48" spans="1:13" ht="13.5" customHeight="1" x14ac:dyDescent="0.3">
      <c r="A48" s="2" t="s">
        <v>115</v>
      </c>
      <c r="B48" s="3" t="s">
        <v>86</v>
      </c>
      <c r="C48" s="3" t="s">
        <v>27</v>
      </c>
      <c r="D48" s="3" t="s">
        <v>50</v>
      </c>
      <c r="E48" s="4">
        <v>6027</v>
      </c>
      <c r="F48" s="2">
        <v>245</v>
      </c>
      <c r="G48" s="2">
        <v>79</v>
      </c>
      <c r="H48" s="5">
        <v>45482</v>
      </c>
      <c r="I48" s="5">
        <v>45360</v>
      </c>
      <c r="J48" s="2">
        <v>64</v>
      </c>
      <c r="K48" s="3" t="s">
        <v>36</v>
      </c>
      <c r="L48" s="2">
        <v>6</v>
      </c>
      <c r="M48" s="2" t="s">
        <v>29</v>
      </c>
    </row>
    <row r="49" spans="1:13" ht="13.5" customHeight="1" x14ac:dyDescent="0.3">
      <c r="A49" s="2" t="s">
        <v>116</v>
      </c>
      <c r="B49" s="3" t="s">
        <v>113</v>
      </c>
      <c r="C49" s="3" t="s">
        <v>114</v>
      </c>
      <c r="D49" s="3" t="s">
        <v>16</v>
      </c>
      <c r="E49" s="4">
        <v>17171</v>
      </c>
      <c r="F49" s="2">
        <v>446</v>
      </c>
      <c r="G49" s="2">
        <v>49</v>
      </c>
      <c r="H49" s="5">
        <v>45562</v>
      </c>
      <c r="I49" s="5">
        <v>46012</v>
      </c>
      <c r="J49" s="2">
        <v>78</v>
      </c>
      <c r="K49" s="3" t="s">
        <v>28</v>
      </c>
      <c r="L49" s="2">
        <v>48</v>
      </c>
      <c r="M49" s="2" t="s">
        <v>18</v>
      </c>
    </row>
    <row r="50" spans="1:13" ht="13.5" customHeight="1" x14ac:dyDescent="0.3">
      <c r="A50" s="2" t="s">
        <v>117</v>
      </c>
      <c r="B50" s="3" t="s">
        <v>86</v>
      </c>
      <c r="C50" s="3" t="s">
        <v>27</v>
      </c>
      <c r="D50" s="3" t="s">
        <v>53</v>
      </c>
      <c r="E50" s="4">
        <v>18449</v>
      </c>
      <c r="F50" s="2">
        <v>10</v>
      </c>
      <c r="G50" s="2">
        <v>69</v>
      </c>
      <c r="H50" s="5">
        <v>45502</v>
      </c>
      <c r="I50" s="5">
        <v>45901</v>
      </c>
      <c r="J50" s="2">
        <v>104</v>
      </c>
      <c r="K50" s="3" t="s">
        <v>91</v>
      </c>
      <c r="L50" s="2">
        <v>21</v>
      </c>
      <c r="M50" s="2" t="s">
        <v>32</v>
      </c>
    </row>
    <row r="51" spans="1:13" ht="13.5" customHeight="1" x14ac:dyDescent="0.3">
      <c r="A51" s="2" t="s">
        <v>118</v>
      </c>
      <c r="B51" s="3" t="s">
        <v>34</v>
      </c>
      <c r="C51" s="3" t="s">
        <v>35</v>
      </c>
      <c r="D51" s="3" t="s">
        <v>22</v>
      </c>
      <c r="E51" s="4">
        <v>25957</v>
      </c>
      <c r="F51" s="2">
        <v>226</v>
      </c>
      <c r="G51" s="2">
        <v>72</v>
      </c>
      <c r="H51" s="5">
        <v>45442</v>
      </c>
      <c r="I51" s="5">
        <v>45949</v>
      </c>
      <c r="J51" s="2">
        <v>26</v>
      </c>
      <c r="K51" s="3" t="s">
        <v>28</v>
      </c>
      <c r="L51" s="2">
        <v>22</v>
      </c>
      <c r="M51" s="2" t="s">
        <v>18</v>
      </c>
    </row>
    <row r="52" spans="1:13" ht="13.5" customHeight="1" x14ac:dyDescent="0.3">
      <c r="A52" s="2" t="s">
        <v>119</v>
      </c>
      <c r="B52" s="3" t="s">
        <v>113</v>
      </c>
      <c r="C52" s="3" t="s">
        <v>114</v>
      </c>
      <c r="D52" s="3" t="s">
        <v>22</v>
      </c>
      <c r="E52" s="4">
        <v>19611</v>
      </c>
      <c r="F52" s="2">
        <v>118</v>
      </c>
      <c r="G52" s="2">
        <v>70</v>
      </c>
      <c r="H52" s="5">
        <v>45435</v>
      </c>
      <c r="I52" s="5">
        <v>45732</v>
      </c>
      <c r="J52" s="2">
        <v>82</v>
      </c>
      <c r="K52" s="3" t="s">
        <v>23</v>
      </c>
      <c r="L52" s="2">
        <v>58</v>
      </c>
      <c r="M52" s="2" t="s">
        <v>18</v>
      </c>
    </row>
    <row r="53" spans="1:13" ht="13.5" customHeight="1" x14ac:dyDescent="0.3">
      <c r="A53" s="2" t="s">
        <v>120</v>
      </c>
      <c r="B53" s="3" t="s">
        <v>45</v>
      </c>
      <c r="C53" s="3" t="s">
        <v>46</v>
      </c>
      <c r="D53" s="3" t="s">
        <v>22</v>
      </c>
      <c r="E53" s="4">
        <v>44106</v>
      </c>
      <c r="F53" s="2">
        <v>186</v>
      </c>
      <c r="G53" s="2">
        <v>76</v>
      </c>
      <c r="H53" s="5">
        <v>45512</v>
      </c>
      <c r="I53" s="5">
        <v>46358</v>
      </c>
      <c r="J53" s="2">
        <v>40</v>
      </c>
      <c r="K53" s="3" t="s">
        <v>36</v>
      </c>
      <c r="L53" s="2">
        <v>22</v>
      </c>
      <c r="M53" s="2" t="s">
        <v>18</v>
      </c>
    </row>
    <row r="54" spans="1:13" ht="13.5" customHeight="1" x14ac:dyDescent="0.3">
      <c r="A54" s="2" t="s">
        <v>121</v>
      </c>
      <c r="B54" s="3" t="s">
        <v>84</v>
      </c>
      <c r="C54" s="3" t="s">
        <v>27</v>
      </c>
      <c r="D54" s="3" t="s">
        <v>43</v>
      </c>
      <c r="E54" s="4">
        <v>30944</v>
      </c>
      <c r="F54" s="2">
        <v>267</v>
      </c>
      <c r="G54" s="2">
        <v>43</v>
      </c>
      <c r="H54" s="5">
        <v>45310</v>
      </c>
      <c r="I54" s="5">
        <v>45378</v>
      </c>
      <c r="J54" s="2">
        <v>49</v>
      </c>
      <c r="K54" s="3" t="s">
        <v>36</v>
      </c>
      <c r="L54" s="2">
        <v>31</v>
      </c>
      <c r="M54" s="2" t="s">
        <v>29</v>
      </c>
    </row>
    <row r="55" spans="1:13" ht="13.5" customHeight="1" x14ac:dyDescent="0.3">
      <c r="A55" s="2" t="s">
        <v>122</v>
      </c>
      <c r="B55" s="3" t="s">
        <v>111</v>
      </c>
      <c r="C55" s="3" t="s">
        <v>62</v>
      </c>
      <c r="D55" s="3" t="s">
        <v>53</v>
      </c>
      <c r="E55" s="4">
        <v>21675</v>
      </c>
      <c r="F55" s="2">
        <v>384</v>
      </c>
      <c r="G55" s="2">
        <v>42</v>
      </c>
      <c r="H55" s="5">
        <v>45390</v>
      </c>
      <c r="I55" s="5">
        <v>45851</v>
      </c>
      <c r="J55" s="2">
        <v>154</v>
      </c>
      <c r="K55" s="3" t="s">
        <v>17</v>
      </c>
      <c r="L55" s="2">
        <v>43</v>
      </c>
      <c r="M55" s="2" t="s">
        <v>18</v>
      </c>
    </row>
    <row r="56" spans="1:13" ht="13.5" customHeight="1" x14ac:dyDescent="0.3">
      <c r="A56" s="2" t="s">
        <v>123</v>
      </c>
      <c r="B56" s="3" t="s">
        <v>102</v>
      </c>
      <c r="C56" s="3" t="s">
        <v>103</v>
      </c>
      <c r="D56" s="3" t="s">
        <v>53</v>
      </c>
      <c r="E56" s="4">
        <v>34944</v>
      </c>
      <c r="F56" s="2">
        <v>106</v>
      </c>
      <c r="G56" s="2">
        <v>47</v>
      </c>
      <c r="H56" s="5">
        <v>45579</v>
      </c>
      <c r="I56" s="5">
        <v>45896</v>
      </c>
      <c r="J56" s="2">
        <v>171</v>
      </c>
      <c r="K56" s="3" t="s">
        <v>17</v>
      </c>
      <c r="L56" s="2">
        <v>124</v>
      </c>
      <c r="M56" s="2" t="s">
        <v>18</v>
      </c>
    </row>
    <row r="57" spans="1:13" ht="13.5" customHeight="1" x14ac:dyDescent="0.3">
      <c r="A57" s="2" t="s">
        <v>124</v>
      </c>
      <c r="B57" s="3" t="s">
        <v>125</v>
      </c>
      <c r="C57" s="3" t="s">
        <v>126</v>
      </c>
      <c r="D57" s="3" t="s">
        <v>22</v>
      </c>
      <c r="E57" s="4">
        <v>8903</v>
      </c>
      <c r="F57" s="2">
        <v>349</v>
      </c>
      <c r="G57" s="2">
        <v>47</v>
      </c>
      <c r="H57" s="5">
        <v>45317</v>
      </c>
      <c r="I57" s="5">
        <v>45858</v>
      </c>
      <c r="J57" s="2">
        <v>103</v>
      </c>
      <c r="K57" s="3" t="s">
        <v>28</v>
      </c>
      <c r="L57" s="2">
        <v>98</v>
      </c>
      <c r="M57" s="2" t="s">
        <v>18</v>
      </c>
    </row>
    <row r="58" spans="1:13" ht="13.5" customHeight="1" x14ac:dyDescent="0.3">
      <c r="A58" s="2" t="s">
        <v>127</v>
      </c>
      <c r="B58" s="3" t="s">
        <v>45</v>
      </c>
      <c r="C58" s="3" t="s">
        <v>46</v>
      </c>
      <c r="D58" s="3" t="s">
        <v>43</v>
      </c>
      <c r="E58" s="4">
        <v>28098</v>
      </c>
      <c r="F58" s="2">
        <v>266</v>
      </c>
      <c r="G58" s="2">
        <v>24</v>
      </c>
      <c r="H58" s="5">
        <v>45534</v>
      </c>
      <c r="I58" s="5">
        <v>45903</v>
      </c>
      <c r="J58" s="2">
        <v>174</v>
      </c>
      <c r="K58" s="3" t="s">
        <v>28</v>
      </c>
      <c r="L58" s="2">
        <v>31</v>
      </c>
      <c r="M58" s="2" t="s">
        <v>18</v>
      </c>
    </row>
    <row r="59" spans="1:13" ht="13.5" customHeight="1" x14ac:dyDescent="0.3">
      <c r="A59" s="2" t="s">
        <v>128</v>
      </c>
      <c r="B59" s="3" t="s">
        <v>129</v>
      </c>
      <c r="C59" s="3" t="s">
        <v>130</v>
      </c>
      <c r="D59" s="3" t="s">
        <v>53</v>
      </c>
      <c r="E59" s="4">
        <v>25642</v>
      </c>
      <c r="F59" s="2">
        <v>119</v>
      </c>
      <c r="G59" s="2">
        <v>76</v>
      </c>
      <c r="H59" s="5">
        <v>45310</v>
      </c>
      <c r="I59" s="5">
        <v>46185</v>
      </c>
      <c r="J59" s="2">
        <v>80</v>
      </c>
      <c r="K59" s="3" t="s">
        <v>28</v>
      </c>
      <c r="L59" s="2">
        <v>61</v>
      </c>
      <c r="M59" s="2" t="s">
        <v>18</v>
      </c>
    </row>
    <row r="60" spans="1:13" ht="13.5" customHeight="1" x14ac:dyDescent="0.3">
      <c r="A60" s="2" t="s">
        <v>131</v>
      </c>
      <c r="B60" s="3" t="s">
        <v>20</v>
      </c>
      <c r="C60" s="3" t="s">
        <v>21</v>
      </c>
      <c r="D60" s="3" t="s">
        <v>53</v>
      </c>
      <c r="E60" s="4">
        <v>22119</v>
      </c>
      <c r="F60" s="2">
        <v>115</v>
      </c>
      <c r="G60" s="2">
        <v>45</v>
      </c>
      <c r="H60" s="5">
        <v>45502</v>
      </c>
      <c r="I60" s="5">
        <v>46152</v>
      </c>
      <c r="J60" s="2">
        <v>155</v>
      </c>
      <c r="K60" s="3" t="s">
        <v>91</v>
      </c>
      <c r="L60" s="2">
        <v>74</v>
      </c>
      <c r="M60" s="2" t="s">
        <v>18</v>
      </c>
    </row>
    <row r="61" spans="1:13" ht="13.5" customHeight="1" x14ac:dyDescent="0.3">
      <c r="A61" s="2" t="s">
        <v>132</v>
      </c>
      <c r="B61" s="3" t="s">
        <v>61</v>
      </c>
      <c r="C61" s="3" t="s">
        <v>62</v>
      </c>
      <c r="D61" s="3" t="s">
        <v>53</v>
      </c>
      <c r="E61" s="4">
        <v>2823</v>
      </c>
      <c r="F61" s="2">
        <v>56</v>
      </c>
      <c r="G61" s="2">
        <v>26</v>
      </c>
      <c r="H61" s="5">
        <v>45449</v>
      </c>
      <c r="I61" s="5">
        <v>46084</v>
      </c>
      <c r="J61" s="2">
        <v>130</v>
      </c>
      <c r="K61" s="3" t="s">
        <v>36</v>
      </c>
      <c r="L61" s="2">
        <v>49</v>
      </c>
      <c r="M61" s="2" t="s">
        <v>18</v>
      </c>
    </row>
    <row r="62" spans="1:13" ht="13.5" customHeight="1" x14ac:dyDescent="0.3">
      <c r="A62" s="2" t="s">
        <v>133</v>
      </c>
      <c r="B62" s="3" t="s">
        <v>42</v>
      </c>
      <c r="C62" s="3" t="s">
        <v>27</v>
      </c>
      <c r="D62" s="3" t="s">
        <v>16</v>
      </c>
      <c r="E62" s="4">
        <v>1022</v>
      </c>
      <c r="F62" s="2">
        <v>30</v>
      </c>
      <c r="G62" s="2">
        <v>65</v>
      </c>
      <c r="H62" s="5">
        <v>45542</v>
      </c>
      <c r="I62" s="5">
        <v>45933</v>
      </c>
      <c r="J62" s="2">
        <v>195</v>
      </c>
      <c r="K62" s="3" t="s">
        <v>17</v>
      </c>
      <c r="L62" s="2">
        <v>7</v>
      </c>
      <c r="M62" s="2" t="s">
        <v>37</v>
      </c>
    </row>
    <row r="63" spans="1:13" ht="13.5" customHeight="1" x14ac:dyDescent="0.3">
      <c r="A63" s="2" t="s">
        <v>134</v>
      </c>
      <c r="B63" s="3" t="s">
        <v>73</v>
      </c>
      <c r="C63" s="3" t="s">
        <v>40</v>
      </c>
      <c r="D63" s="3" t="s">
        <v>50</v>
      </c>
      <c r="E63" s="4">
        <v>32712</v>
      </c>
      <c r="F63" s="2">
        <v>99</v>
      </c>
      <c r="G63" s="2">
        <v>26</v>
      </c>
      <c r="H63" s="5">
        <v>45587</v>
      </c>
      <c r="I63" s="5">
        <v>45997</v>
      </c>
      <c r="J63" s="2">
        <v>21</v>
      </c>
      <c r="K63" s="3" t="s">
        <v>28</v>
      </c>
      <c r="L63" s="2">
        <v>2</v>
      </c>
      <c r="M63" s="2" t="s">
        <v>18</v>
      </c>
    </row>
    <row r="64" spans="1:13" ht="13.5" customHeight="1" x14ac:dyDescent="0.3">
      <c r="A64" s="2" t="s">
        <v>135</v>
      </c>
      <c r="B64" s="3" t="s">
        <v>125</v>
      </c>
      <c r="C64" s="3" t="s">
        <v>126</v>
      </c>
      <c r="D64" s="3" t="s">
        <v>43</v>
      </c>
      <c r="E64" s="4">
        <v>36494</v>
      </c>
      <c r="F64" s="2">
        <v>197</v>
      </c>
      <c r="G64" s="2">
        <v>60</v>
      </c>
      <c r="H64" s="5">
        <v>45400</v>
      </c>
      <c r="I64" s="5">
        <v>45704</v>
      </c>
      <c r="J64" s="2">
        <v>50</v>
      </c>
      <c r="K64" s="3" t="s">
        <v>17</v>
      </c>
      <c r="L64" s="2">
        <v>44</v>
      </c>
      <c r="M64" s="2" t="s">
        <v>18</v>
      </c>
    </row>
    <row r="65" spans="1:13" ht="13.5" customHeight="1" x14ac:dyDescent="0.3">
      <c r="A65" s="2" t="s">
        <v>136</v>
      </c>
      <c r="B65" s="3" t="s">
        <v>20</v>
      </c>
      <c r="C65" s="3" t="s">
        <v>21</v>
      </c>
      <c r="D65" s="3" t="s">
        <v>16</v>
      </c>
      <c r="E65" s="4">
        <v>35406</v>
      </c>
      <c r="F65" s="2"/>
      <c r="G65" s="2">
        <v>71</v>
      </c>
      <c r="H65" s="5">
        <v>45292</v>
      </c>
      <c r="I65" s="5">
        <v>46282</v>
      </c>
      <c r="J65" s="2">
        <v>42</v>
      </c>
      <c r="K65" s="3" t="s">
        <v>17</v>
      </c>
      <c r="L65" s="2">
        <v>27</v>
      </c>
      <c r="M65" s="2" t="s">
        <v>18</v>
      </c>
    </row>
    <row r="66" spans="1:13" ht="13.5" customHeight="1" x14ac:dyDescent="0.3">
      <c r="A66" s="2" t="s">
        <v>137</v>
      </c>
      <c r="B66" s="3" t="s">
        <v>61</v>
      </c>
      <c r="C66" s="3" t="s">
        <v>62</v>
      </c>
      <c r="D66" s="3" t="s">
        <v>43</v>
      </c>
      <c r="E66" s="4">
        <v>32273</v>
      </c>
      <c r="F66" s="2">
        <v>106</v>
      </c>
      <c r="G66" s="2">
        <v>72</v>
      </c>
      <c r="H66" s="5">
        <v>45509</v>
      </c>
      <c r="I66" s="5">
        <v>46238</v>
      </c>
      <c r="J66" s="2">
        <v>84</v>
      </c>
      <c r="K66" s="3" t="s">
        <v>28</v>
      </c>
      <c r="L66" s="2">
        <v>44</v>
      </c>
      <c r="M66" s="2" t="s">
        <v>18</v>
      </c>
    </row>
    <row r="67" spans="1:13" ht="13.5" customHeight="1" x14ac:dyDescent="0.3">
      <c r="A67" s="2" t="s">
        <v>138</v>
      </c>
      <c r="B67" s="3" t="s">
        <v>14</v>
      </c>
      <c r="C67" s="3" t="s">
        <v>15</v>
      </c>
      <c r="D67" s="3" t="s">
        <v>22</v>
      </c>
      <c r="E67" s="4">
        <v>14223</v>
      </c>
      <c r="F67" s="2">
        <v>65</v>
      </c>
      <c r="G67" s="2">
        <v>31</v>
      </c>
      <c r="H67" s="5">
        <v>45587</v>
      </c>
      <c r="I67" s="5">
        <v>45870</v>
      </c>
      <c r="J67" s="2">
        <v>74</v>
      </c>
      <c r="K67" s="3" t="s">
        <v>23</v>
      </c>
      <c r="L67" s="2">
        <v>64</v>
      </c>
      <c r="M67" s="2" t="s">
        <v>18</v>
      </c>
    </row>
    <row r="68" spans="1:13" ht="13.5" customHeight="1" x14ac:dyDescent="0.3">
      <c r="A68" s="2" t="s">
        <v>139</v>
      </c>
      <c r="B68" s="3" t="s">
        <v>79</v>
      </c>
      <c r="C68" s="3" t="s">
        <v>15</v>
      </c>
      <c r="D68" s="3" t="s">
        <v>22</v>
      </c>
      <c r="E68" s="4">
        <v>33825</v>
      </c>
      <c r="F68" s="2">
        <v>192</v>
      </c>
      <c r="G68" s="2">
        <v>29</v>
      </c>
      <c r="H68" s="5">
        <v>45316</v>
      </c>
      <c r="I68" s="5">
        <v>46059</v>
      </c>
      <c r="J68" s="2">
        <v>33</v>
      </c>
      <c r="K68" s="3" t="s">
        <v>23</v>
      </c>
      <c r="L68" s="2">
        <v>29</v>
      </c>
      <c r="M68" s="2" t="s">
        <v>18</v>
      </c>
    </row>
    <row r="69" spans="1:13" ht="13.5" customHeight="1" x14ac:dyDescent="0.3">
      <c r="A69" s="2" t="s">
        <v>140</v>
      </c>
      <c r="B69" s="3" t="s">
        <v>106</v>
      </c>
      <c r="C69" s="3" t="s">
        <v>49</v>
      </c>
      <c r="D69" s="3" t="s">
        <v>22</v>
      </c>
      <c r="E69" s="4">
        <v>23500</v>
      </c>
      <c r="F69" s="2">
        <v>195</v>
      </c>
      <c r="G69" s="2">
        <v>56</v>
      </c>
      <c r="H69" s="5">
        <v>45584</v>
      </c>
      <c r="I69" s="5">
        <v>46273</v>
      </c>
      <c r="J69" s="2">
        <v>141</v>
      </c>
      <c r="K69" s="3" t="s">
        <v>17</v>
      </c>
      <c r="L69" s="2">
        <v>105</v>
      </c>
      <c r="M69" s="2" t="s">
        <v>71</v>
      </c>
    </row>
    <row r="70" spans="1:13" ht="13.5" customHeight="1" x14ac:dyDescent="0.3">
      <c r="A70" s="2" t="s">
        <v>141</v>
      </c>
      <c r="B70" s="3" t="s">
        <v>84</v>
      </c>
      <c r="C70" s="3" t="s">
        <v>27</v>
      </c>
      <c r="D70" s="3" t="s">
        <v>43</v>
      </c>
      <c r="E70" s="4">
        <v>6097</v>
      </c>
      <c r="F70" s="2">
        <v>490</v>
      </c>
      <c r="G70" s="2">
        <v>60</v>
      </c>
      <c r="H70" s="5">
        <v>45525</v>
      </c>
      <c r="I70" s="5">
        <v>46125</v>
      </c>
      <c r="J70" s="2">
        <v>148</v>
      </c>
      <c r="K70" s="3" t="s">
        <v>23</v>
      </c>
      <c r="L70" s="2">
        <v>70</v>
      </c>
      <c r="M70" s="2" t="s">
        <v>37</v>
      </c>
    </row>
    <row r="71" spans="1:13" ht="13.5" customHeight="1" x14ac:dyDescent="0.3">
      <c r="A71" s="2" t="s">
        <v>142</v>
      </c>
      <c r="B71" s="3" t="s">
        <v>31</v>
      </c>
      <c r="C71" s="3" t="s">
        <v>27</v>
      </c>
      <c r="D71" s="3" t="s">
        <v>16</v>
      </c>
      <c r="E71" s="4">
        <v>25600</v>
      </c>
      <c r="F71" s="2">
        <v>148</v>
      </c>
      <c r="G71" s="2">
        <v>22</v>
      </c>
      <c r="H71" s="5">
        <v>45469</v>
      </c>
      <c r="I71" s="5">
        <v>46057</v>
      </c>
      <c r="J71" s="2">
        <v>135</v>
      </c>
      <c r="K71" s="3" t="s">
        <v>36</v>
      </c>
      <c r="L71" s="2">
        <v>113</v>
      </c>
      <c r="M71" s="2" t="s">
        <v>18</v>
      </c>
    </row>
    <row r="72" spans="1:13" ht="13.5" customHeight="1" x14ac:dyDescent="0.3">
      <c r="A72" s="2" t="s">
        <v>143</v>
      </c>
      <c r="B72" s="3" t="s">
        <v>125</v>
      </c>
      <c r="C72" s="3" t="s">
        <v>126</v>
      </c>
      <c r="D72" s="3" t="s">
        <v>53</v>
      </c>
      <c r="E72" s="4">
        <v>30261</v>
      </c>
      <c r="F72" s="2">
        <v>134</v>
      </c>
      <c r="G72" s="2">
        <v>58</v>
      </c>
      <c r="H72" s="5">
        <v>45435</v>
      </c>
      <c r="I72" s="5">
        <v>45821</v>
      </c>
      <c r="J72" s="2">
        <v>157</v>
      </c>
      <c r="K72" s="3" t="s">
        <v>36</v>
      </c>
      <c r="L72" s="2">
        <v>125</v>
      </c>
      <c r="M72" s="2" t="s">
        <v>18</v>
      </c>
    </row>
    <row r="73" spans="1:13" ht="13.5" customHeight="1" x14ac:dyDescent="0.3">
      <c r="A73" s="2" t="s">
        <v>144</v>
      </c>
      <c r="B73" s="3" t="s">
        <v>79</v>
      </c>
      <c r="C73" s="3" t="s">
        <v>15</v>
      </c>
      <c r="D73" s="3" t="s">
        <v>22</v>
      </c>
      <c r="E73" s="4">
        <v>15578</v>
      </c>
      <c r="F73" s="2">
        <v>468</v>
      </c>
      <c r="G73" s="2">
        <v>52</v>
      </c>
      <c r="H73" s="5">
        <v>45298</v>
      </c>
      <c r="I73" s="5">
        <v>45839</v>
      </c>
      <c r="J73" s="2">
        <v>129</v>
      </c>
      <c r="K73" s="3" t="s">
        <v>36</v>
      </c>
      <c r="L73" s="2">
        <v>90</v>
      </c>
      <c r="M73" s="2" t="s">
        <v>18</v>
      </c>
    </row>
    <row r="74" spans="1:13" ht="13.5" customHeight="1" x14ac:dyDescent="0.3">
      <c r="A74" s="2" t="s">
        <v>145</v>
      </c>
      <c r="B74" s="3" t="s">
        <v>111</v>
      </c>
      <c r="C74" s="3" t="s">
        <v>62</v>
      </c>
      <c r="D74" s="3" t="s">
        <v>43</v>
      </c>
      <c r="E74" s="4">
        <v>35969</v>
      </c>
      <c r="F74" s="2">
        <v>157</v>
      </c>
      <c r="G74" s="2">
        <v>64</v>
      </c>
      <c r="H74" s="5">
        <v>45463</v>
      </c>
      <c r="I74" s="5">
        <v>46309</v>
      </c>
      <c r="J74" s="2">
        <v>79</v>
      </c>
      <c r="K74" s="3" t="s">
        <v>23</v>
      </c>
      <c r="L74" s="2">
        <v>22</v>
      </c>
      <c r="M74" s="2" t="s">
        <v>18</v>
      </c>
    </row>
    <row r="75" spans="1:13" ht="13.5" customHeight="1" x14ac:dyDescent="0.3">
      <c r="A75" s="2" t="s">
        <v>146</v>
      </c>
      <c r="B75" s="3" t="s">
        <v>147</v>
      </c>
      <c r="C75" s="3" t="s">
        <v>103</v>
      </c>
      <c r="D75" s="3" t="s">
        <v>22</v>
      </c>
      <c r="E75" s="4">
        <v>23639</v>
      </c>
      <c r="F75" s="2">
        <v>187</v>
      </c>
      <c r="G75" s="2">
        <v>28</v>
      </c>
      <c r="H75" s="5">
        <v>45368</v>
      </c>
      <c r="I75" s="5">
        <v>45935</v>
      </c>
      <c r="J75" s="2">
        <v>80</v>
      </c>
      <c r="K75" s="3" t="s">
        <v>91</v>
      </c>
      <c r="L75" s="2">
        <v>41</v>
      </c>
      <c r="M75" s="2" t="s">
        <v>18</v>
      </c>
    </row>
    <row r="76" spans="1:13" ht="13.5" customHeight="1" x14ac:dyDescent="0.3">
      <c r="A76" s="2" t="s">
        <v>148</v>
      </c>
      <c r="B76" s="3" t="s">
        <v>56</v>
      </c>
      <c r="C76" s="3" t="s">
        <v>27</v>
      </c>
      <c r="D76" s="3" t="s">
        <v>22</v>
      </c>
      <c r="E76" s="4">
        <v>5424</v>
      </c>
      <c r="F76" s="2">
        <v>1</v>
      </c>
      <c r="G76" s="2">
        <v>39</v>
      </c>
      <c r="H76" s="5">
        <v>45318</v>
      </c>
      <c r="I76" s="5">
        <v>45864</v>
      </c>
      <c r="J76" s="2">
        <v>39</v>
      </c>
      <c r="K76" s="3" t="s">
        <v>91</v>
      </c>
      <c r="L76" s="2">
        <v>10</v>
      </c>
      <c r="M76" s="2" t="s">
        <v>24</v>
      </c>
    </row>
    <row r="77" spans="1:13" ht="13.5" customHeight="1" x14ac:dyDescent="0.3">
      <c r="A77" s="2" t="s">
        <v>128</v>
      </c>
      <c r="B77" s="3" t="s">
        <v>129</v>
      </c>
      <c r="C77" s="3" t="s">
        <v>130</v>
      </c>
      <c r="D77" s="3" t="s">
        <v>53</v>
      </c>
      <c r="E77" s="4">
        <v>25642</v>
      </c>
      <c r="F77" s="2">
        <v>119</v>
      </c>
      <c r="G77" s="2">
        <v>76</v>
      </c>
      <c r="H77" s="5">
        <v>45310</v>
      </c>
      <c r="I77" s="5">
        <v>46185</v>
      </c>
      <c r="J77" s="2">
        <v>80</v>
      </c>
      <c r="K77" s="3" t="s">
        <v>28</v>
      </c>
      <c r="L77" s="2">
        <v>61</v>
      </c>
      <c r="M77" s="2" t="s">
        <v>18</v>
      </c>
    </row>
    <row r="78" spans="1:13" ht="13.5" customHeight="1" x14ac:dyDescent="0.3">
      <c r="A78" s="2" t="s">
        <v>149</v>
      </c>
      <c r="B78" s="3" t="s">
        <v>59</v>
      </c>
      <c r="C78" s="3" t="s">
        <v>40</v>
      </c>
      <c r="D78" s="3" t="s">
        <v>50</v>
      </c>
      <c r="E78" s="4">
        <v>34486</v>
      </c>
      <c r="F78" s="2">
        <v>262</v>
      </c>
      <c r="G78" s="2">
        <v>69</v>
      </c>
      <c r="H78" s="5">
        <v>45294</v>
      </c>
      <c r="I78" s="5">
        <v>45349</v>
      </c>
      <c r="J78" s="2">
        <v>185</v>
      </c>
      <c r="K78" s="3" t="s">
        <v>23</v>
      </c>
      <c r="L78" s="2">
        <v>119</v>
      </c>
      <c r="M78" s="2" t="s">
        <v>29</v>
      </c>
    </row>
    <row r="79" spans="1:13" ht="13.5" customHeight="1" x14ac:dyDescent="0.3">
      <c r="A79" s="2" t="s">
        <v>150</v>
      </c>
      <c r="B79" s="3" t="s">
        <v>106</v>
      </c>
      <c r="C79" s="3" t="s">
        <v>49</v>
      </c>
      <c r="D79" s="3" t="s">
        <v>50</v>
      </c>
      <c r="E79" s="4">
        <v>19460</v>
      </c>
      <c r="F79" s="2">
        <v>15</v>
      </c>
      <c r="G79" s="2">
        <v>47</v>
      </c>
      <c r="H79" s="5">
        <v>45356</v>
      </c>
      <c r="I79" s="5">
        <v>46311</v>
      </c>
      <c r="J79" s="2">
        <v>13</v>
      </c>
      <c r="K79" s="3" t="s">
        <v>36</v>
      </c>
      <c r="L79" s="2">
        <v>4</v>
      </c>
      <c r="M79" s="2" t="s">
        <v>32</v>
      </c>
    </row>
    <row r="80" spans="1:13" ht="13.5" customHeight="1" x14ac:dyDescent="0.3">
      <c r="A80" s="2" t="s">
        <v>151</v>
      </c>
      <c r="B80" s="3" t="s">
        <v>56</v>
      </c>
      <c r="C80" s="3" t="s">
        <v>27</v>
      </c>
      <c r="D80" s="3" t="s">
        <v>22</v>
      </c>
      <c r="E80" s="4">
        <v>26966</v>
      </c>
      <c r="F80" s="2">
        <v>133</v>
      </c>
      <c r="G80" s="2">
        <v>29</v>
      </c>
      <c r="H80" s="5">
        <v>45528</v>
      </c>
      <c r="I80" s="5">
        <v>46237</v>
      </c>
      <c r="J80" s="2">
        <v>128</v>
      </c>
      <c r="K80" s="3" t="s">
        <v>36</v>
      </c>
      <c r="L80" s="2">
        <v>49</v>
      </c>
      <c r="M80" s="2" t="s">
        <v>18</v>
      </c>
    </row>
    <row r="81" spans="1:13" ht="13.5" customHeight="1" x14ac:dyDescent="0.3">
      <c r="A81" s="2" t="s">
        <v>152</v>
      </c>
      <c r="B81" s="3" t="s">
        <v>65</v>
      </c>
      <c r="C81" s="3" t="s">
        <v>66</v>
      </c>
      <c r="D81" s="3" t="s">
        <v>16</v>
      </c>
      <c r="E81" s="4">
        <v>42078</v>
      </c>
      <c r="F81" s="2">
        <v>18</v>
      </c>
      <c r="G81" s="2">
        <v>68</v>
      </c>
      <c r="H81" s="5">
        <v>45472</v>
      </c>
      <c r="I81" s="5">
        <v>46215</v>
      </c>
      <c r="J81" s="2">
        <v>123</v>
      </c>
      <c r="K81" s="3" t="s">
        <v>91</v>
      </c>
      <c r="L81" s="2">
        <v>35</v>
      </c>
      <c r="M81" s="2" t="s">
        <v>32</v>
      </c>
    </row>
    <row r="82" spans="1:13" ht="13.5" customHeight="1" x14ac:dyDescent="0.3">
      <c r="A82" s="2" t="s">
        <v>153</v>
      </c>
      <c r="B82" s="3" t="s">
        <v>102</v>
      </c>
      <c r="C82" s="3" t="s">
        <v>103</v>
      </c>
      <c r="D82" s="3" t="s">
        <v>53</v>
      </c>
      <c r="E82" s="4">
        <v>31020</v>
      </c>
      <c r="F82" s="2"/>
      <c r="G82" s="2">
        <v>61</v>
      </c>
      <c r="H82" s="5">
        <v>45376</v>
      </c>
      <c r="I82" s="5">
        <v>45726</v>
      </c>
      <c r="J82" s="2">
        <v>84</v>
      </c>
      <c r="K82" s="3" t="s">
        <v>28</v>
      </c>
      <c r="L82" s="2">
        <v>23</v>
      </c>
      <c r="M82" s="2" t="s">
        <v>32</v>
      </c>
    </row>
    <row r="83" spans="1:13" ht="13.5" customHeight="1" x14ac:dyDescent="0.3">
      <c r="A83" s="2" t="s">
        <v>154</v>
      </c>
      <c r="B83" s="3" t="s">
        <v>106</v>
      </c>
      <c r="C83" s="3" t="s">
        <v>49</v>
      </c>
      <c r="D83" s="3" t="s">
        <v>22</v>
      </c>
      <c r="E83" s="4">
        <v>16781</v>
      </c>
      <c r="F83" s="2">
        <v>178</v>
      </c>
      <c r="G83" s="2">
        <v>46</v>
      </c>
      <c r="H83" s="5">
        <v>45529</v>
      </c>
      <c r="I83" s="5">
        <v>45861</v>
      </c>
      <c r="J83" s="2">
        <v>65</v>
      </c>
      <c r="K83" s="3" t="s">
        <v>23</v>
      </c>
      <c r="L83" s="2">
        <v>8</v>
      </c>
      <c r="M83" s="2" t="s">
        <v>18</v>
      </c>
    </row>
    <row r="84" spans="1:13" ht="13.5" customHeight="1" x14ac:dyDescent="0.3">
      <c r="A84" s="2" t="s">
        <v>155</v>
      </c>
      <c r="B84" s="3" t="s">
        <v>26</v>
      </c>
      <c r="C84" s="3" t="s">
        <v>27</v>
      </c>
      <c r="D84" s="3" t="s">
        <v>16</v>
      </c>
      <c r="E84" s="4">
        <v>11568</v>
      </c>
      <c r="F84" s="2">
        <v>46</v>
      </c>
      <c r="G84" s="2">
        <v>65</v>
      </c>
      <c r="H84" s="5">
        <v>45510</v>
      </c>
      <c r="I84" s="5">
        <v>45992</v>
      </c>
      <c r="J84" s="2">
        <v>72</v>
      </c>
      <c r="K84" s="3" t="s">
        <v>17</v>
      </c>
      <c r="L84" s="2">
        <v>33</v>
      </c>
      <c r="M84" s="2" t="s">
        <v>32</v>
      </c>
    </row>
    <row r="85" spans="1:13" ht="13.5" customHeight="1" x14ac:dyDescent="0.3">
      <c r="A85" s="2" t="s">
        <v>156</v>
      </c>
      <c r="B85" s="3" t="s">
        <v>48</v>
      </c>
      <c r="C85" s="3" t="s">
        <v>49</v>
      </c>
      <c r="D85" s="3" t="s">
        <v>43</v>
      </c>
      <c r="E85" s="4">
        <v>30385</v>
      </c>
      <c r="F85" s="2">
        <v>225</v>
      </c>
      <c r="G85" s="2">
        <v>26</v>
      </c>
      <c r="H85" s="5">
        <v>45566</v>
      </c>
      <c r="I85" s="5">
        <v>46212</v>
      </c>
      <c r="J85" s="2">
        <v>194</v>
      </c>
      <c r="K85" s="3" t="s">
        <v>17</v>
      </c>
      <c r="L85" s="2">
        <v>115</v>
      </c>
      <c r="M85" s="2" t="s">
        <v>18</v>
      </c>
    </row>
    <row r="86" spans="1:13" ht="13.5" customHeight="1" x14ac:dyDescent="0.3">
      <c r="A86" s="2" t="s">
        <v>157</v>
      </c>
      <c r="B86" s="3" t="s">
        <v>158</v>
      </c>
      <c r="C86" s="3" t="s">
        <v>15</v>
      </c>
      <c r="D86" s="3" t="s">
        <v>22</v>
      </c>
      <c r="E86" s="4">
        <v>30340</v>
      </c>
      <c r="F86" s="2">
        <v>44</v>
      </c>
      <c r="G86" s="2">
        <v>24</v>
      </c>
      <c r="H86" s="5">
        <v>45315</v>
      </c>
      <c r="I86" s="5">
        <v>45692</v>
      </c>
      <c r="J86" s="2">
        <v>177</v>
      </c>
      <c r="K86" s="3" t="s">
        <v>36</v>
      </c>
      <c r="L86" s="2">
        <v>39</v>
      </c>
      <c r="M86" s="2" t="s">
        <v>18</v>
      </c>
    </row>
    <row r="87" spans="1:13" ht="13.5" customHeight="1" x14ac:dyDescent="0.3">
      <c r="A87" s="2" t="s">
        <v>159</v>
      </c>
      <c r="B87" s="3" t="s">
        <v>147</v>
      </c>
      <c r="C87" s="3" t="s">
        <v>103</v>
      </c>
      <c r="D87" s="3" t="s">
        <v>16</v>
      </c>
      <c r="E87" s="4">
        <v>8409</v>
      </c>
      <c r="F87" s="2">
        <v>391</v>
      </c>
      <c r="G87" s="2">
        <v>62</v>
      </c>
      <c r="H87" s="5">
        <v>45469</v>
      </c>
      <c r="I87" s="5">
        <v>45787</v>
      </c>
      <c r="J87" s="2">
        <v>125</v>
      </c>
      <c r="K87" s="3" t="s">
        <v>23</v>
      </c>
      <c r="L87" s="2">
        <v>86</v>
      </c>
      <c r="M87" s="2" t="s">
        <v>71</v>
      </c>
    </row>
    <row r="88" spans="1:13" ht="13.5" customHeight="1" x14ac:dyDescent="0.3">
      <c r="A88" s="2" t="s">
        <v>160</v>
      </c>
      <c r="B88" s="3" t="s">
        <v>56</v>
      </c>
      <c r="C88" s="3" t="s">
        <v>27</v>
      </c>
      <c r="D88" s="3" t="s">
        <v>22</v>
      </c>
      <c r="E88" s="4">
        <v>44536</v>
      </c>
      <c r="F88" s="2">
        <v>411</v>
      </c>
      <c r="G88" s="2">
        <v>41</v>
      </c>
      <c r="H88" s="5">
        <v>45365</v>
      </c>
      <c r="I88" s="5">
        <v>46302</v>
      </c>
      <c r="J88" s="2">
        <v>172</v>
      </c>
      <c r="K88" s="3" t="s">
        <v>17</v>
      </c>
      <c r="L88" s="2">
        <v>44</v>
      </c>
      <c r="M88" s="2" t="s">
        <v>18</v>
      </c>
    </row>
    <row r="89" spans="1:13" ht="13.5" customHeight="1" x14ac:dyDescent="0.3">
      <c r="A89" s="2" t="s">
        <v>161</v>
      </c>
      <c r="B89" s="3" t="s">
        <v>86</v>
      </c>
      <c r="C89" s="3" t="s">
        <v>27</v>
      </c>
      <c r="D89" s="3" t="s">
        <v>50</v>
      </c>
      <c r="E89" s="4">
        <v>37111</v>
      </c>
      <c r="F89" s="2">
        <v>450</v>
      </c>
      <c r="G89" s="2">
        <v>47</v>
      </c>
      <c r="H89" s="5">
        <v>45396</v>
      </c>
      <c r="I89" s="5">
        <v>45471</v>
      </c>
      <c r="J89" s="2">
        <v>14</v>
      </c>
      <c r="K89" s="3" t="s">
        <v>17</v>
      </c>
      <c r="L89" s="2">
        <v>7</v>
      </c>
      <c r="M89" s="2" t="s">
        <v>29</v>
      </c>
    </row>
    <row r="90" spans="1:13" ht="13.5" customHeight="1" x14ac:dyDescent="0.3">
      <c r="A90" s="2" t="s">
        <v>162</v>
      </c>
      <c r="B90" s="3" t="s">
        <v>59</v>
      </c>
      <c r="C90" s="3" t="s">
        <v>40</v>
      </c>
      <c r="D90" s="3" t="s">
        <v>53</v>
      </c>
      <c r="E90" s="4">
        <v>8741</v>
      </c>
      <c r="F90" s="2">
        <v>37</v>
      </c>
      <c r="G90" s="2">
        <v>47</v>
      </c>
      <c r="H90" s="5">
        <v>45529</v>
      </c>
      <c r="I90" s="5">
        <v>46122</v>
      </c>
      <c r="J90" s="2">
        <v>21</v>
      </c>
      <c r="K90" s="3" t="s">
        <v>36</v>
      </c>
      <c r="L90" s="2">
        <v>7</v>
      </c>
      <c r="M90" s="2" t="s">
        <v>71</v>
      </c>
    </row>
    <row r="91" spans="1:13" ht="13.5" customHeight="1" x14ac:dyDescent="0.3">
      <c r="A91" s="2" t="s">
        <v>163</v>
      </c>
      <c r="B91" s="3" t="s">
        <v>129</v>
      </c>
      <c r="C91" s="3" t="s">
        <v>130</v>
      </c>
      <c r="D91" s="3" t="s">
        <v>43</v>
      </c>
      <c r="E91" s="4">
        <v>7151</v>
      </c>
      <c r="F91" s="2">
        <v>391</v>
      </c>
      <c r="G91" s="2">
        <v>48</v>
      </c>
      <c r="H91" s="5">
        <v>45526</v>
      </c>
      <c r="I91" s="5">
        <v>46375</v>
      </c>
      <c r="J91" s="2">
        <v>57</v>
      </c>
      <c r="K91" s="3" t="s">
        <v>17</v>
      </c>
      <c r="L91" s="2">
        <v>16</v>
      </c>
      <c r="M91" s="2" t="s">
        <v>71</v>
      </c>
    </row>
    <row r="92" spans="1:13" ht="13.5" customHeight="1" x14ac:dyDescent="0.3">
      <c r="A92" s="2" t="s">
        <v>164</v>
      </c>
      <c r="B92" s="3" t="s">
        <v>158</v>
      </c>
      <c r="C92" s="3" t="s">
        <v>15</v>
      </c>
      <c r="D92" s="3" t="s">
        <v>22</v>
      </c>
      <c r="E92" s="4">
        <v>22444</v>
      </c>
      <c r="F92" s="2">
        <v>466</v>
      </c>
      <c r="G92" s="2">
        <v>47</v>
      </c>
      <c r="H92" s="5">
        <v>45496</v>
      </c>
      <c r="I92" s="5">
        <v>46256</v>
      </c>
      <c r="J92" s="2">
        <v>72</v>
      </c>
      <c r="K92" s="3" t="s">
        <v>17</v>
      </c>
      <c r="L92" s="2">
        <v>51</v>
      </c>
      <c r="M92" s="2" t="s">
        <v>18</v>
      </c>
    </row>
    <row r="93" spans="1:13" ht="13.5" customHeight="1" x14ac:dyDescent="0.3">
      <c r="A93" s="2" t="s">
        <v>165</v>
      </c>
      <c r="B93" s="3" t="s">
        <v>56</v>
      </c>
      <c r="C93" s="3" t="s">
        <v>27</v>
      </c>
      <c r="D93" s="3" t="s">
        <v>50</v>
      </c>
      <c r="E93" s="4">
        <v>43940</v>
      </c>
      <c r="F93" s="2"/>
      <c r="G93" s="2">
        <v>63</v>
      </c>
      <c r="H93" s="5">
        <v>45399</v>
      </c>
      <c r="I93" s="5">
        <v>45405</v>
      </c>
      <c r="J93" s="2">
        <v>15</v>
      </c>
      <c r="K93" s="3" t="s">
        <v>28</v>
      </c>
      <c r="L93" s="2">
        <v>4</v>
      </c>
      <c r="M93" s="2" t="s">
        <v>29</v>
      </c>
    </row>
    <row r="94" spans="1:13" ht="13.5" customHeight="1" x14ac:dyDescent="0.3">
      <c r="A94" s="2" t="s">
        <v>166</v>
      </c>
      <c r="B94" s="3" t="s">
        <v>48</v>
      </c>
      <c r="C94" s="3" t="s">
        <v>49</v>
      </c>
      <c r="D94" s="3" t="s">
        <v>22</v>
      </c>
      <c r="E94" s="4">
        <v>28384</v>
      </c>
      <c r="F94" s="2">
        <v>207</v>
      </c>
      <c r="G94" s="2">
        <v>65</v>
      </c>
      <c r="H94" s="5">
        <v>45399</v>
      </c>
      <c r="I94" s="5">
        <v>46387</v>
      </c>
      <c r="J94" s="2">
        <v>57</v>
      </c>
      <c r="K94" s="3" t="s">
        <v>91</v>
      </c>
      <c r="L94" s="2">
        <v>7</v>
      </c>
      <c r="M94" s="2" t="s">
        <v>18</v>
      </c>
    </row>
    <row r="95" spans="1:13" ht="13.5" customHeight="1" x14ac:dyDescent="0.3">
      <c r="A95" s="2" t="s">
        <v>167</v>
      </c>
      <c r="B95" s="3" t="s">
        <v>26</v>
      </c>
      <c r="C95" s="3" t="s">
        <v>27</v>
      </c>
      <c r="D95" s="3" t="s">
        <v>22</v>
      </c>
      <c r="E95" s="4">
        <v>16617</v>
      </c>
      <c r="F95" s="2">
        <v>453</v>
      </c>
      <c r="G95" s="2">
        <v>68</v>
      </c>
      <c r="H95" s="5">
        <v>45471</v>
      </c>
      <c r="I95" s="5">
        <v>46333</v>
      </c>
      <c r="J95" s="2">
        <v>105</v>
      </c>
      <c r="K95" s="3" t="s">
        <v>36</v>
      </c>
      <c r="L95" s="2">
        <v>66</v>
      </c>
      <c r="M95" s="2" t="s">
        <v>18</v>
      </c>
    </row>
    <row r="96" spans="1:13" ht="13.5" customHeight="1" x14ac:dyDescent="0.3">
      <c r="A96" s="2" t="s">
        <v>168</v>
      </c>
      <c r="B96" s="3" t="s">
        <v>81</v>
      </c>
      <c r="C96" s="3" t="s">
        <v>82</v>
      </c>
      <c r="D96" s="3" t="s">
        <v>53</v>
      </c>
      <c r="E96" s="4">
        <v>31462</v>
      </c>
      <c r="F96" s="2">
        <v>11</v>
      </c>
      <c r="G96" s="2">
        <v>49</v>
      </c>
      <c r="H96" s="5">
        <v>45370</v>
      </c>
      <c r="I96" s="5">
        <v>46018</v>
      </c>
      <c r="J96" s="2">
        <v>113</v>
      </c>
      <c r="K96" s="3" t="s">
        <v>91</v>
      </c>
      <c r="L96" s="2">
        <v>8</v>
      </c>
      <c r="M96" s="2" t="s">
        <v>32</v>
      </c>
    </row>
    <row r="97" spans="1:13" ht="13.5" customHeight="1" x14ac:dyDescent="0.3">
      <c r="A97" s="2" t="s">
        <v>169</v>
      </c>
      <c r="B97" s="3" t="s">
        <v>147</v>
      </c>
      <c r="C97" s="3" t="s">
        <v>103</v>
      </c>
      <c r="D97" s="3" t="s">
        <v>16</v>
      </c>
      <c r="E97" s="4">
        <v>40217</v>
      </c>
      <c r="F97" s="2">
        <v>459</v>
      </c>
      <c r="G97" s="2">
        <v>45</v>
      </c>
      <c r="H97" s="5">
        <v>45319</v>
      </c>
      <c r="I97" s="5">
        <v>45988</v>
      </c>
      <c r="J97" s="2">
        <v>26</v>
      </c>
      <c r="K97" s="3" t="s">
        <v>28</v>
      </c>
      <c r="L97" s="2">
        <v>20</v>
      </c>
      <c r="M97" s="2" t="s">
        <v>18</v>
      </c>
    </row>
    <row r="98" spans="1:13" ht="13.5" customHeight="1" x14ac:dyDescent="0.3">
      <c r="A98" s="2" t="s">
        <v>170</v>
      </c>
      <c r="B98" s="3" t="s">
        <v>111</v>
      </c>
      <c r="C98" s="3" t="s">
        <v>62</v>
      </c>
      <c r="D98" s="3" t="s">
        <v>16</v>
      </c>
      <c r="E98" s="4">
        <v>31986</v>
      </c>
      <c r="F98" s="2">
        <v>476</v>
      </c>
      <c r="G98" s="2">
        <v>56</v>
      </c>
      <c r="H98" s="5">
        <v>45539</v>
      </c>
      <c r="I98" s="5">
        <v>45770</v>
      </c>
      <c r="J98" s="2">
        <v>82</v>
      </c>
      <c r="K98" s="3" t="s">
        <v>91</v>
      </c>
      <c r="L98" s="2">
        <v>6</v>
      </c>
      <c r="M98" s="2" t="s">
        <v>37</v>
      </c>
    </row>
    <row r="99" spans="1:13" ht="13.5" customHeight="1" x14ac:dyDescent="0.3">
      <c r="A99" s="2" t="s">
        <v>171</v>
      </c>
      <c r="B99" s="3" t="s">
        <v>34</v>
      </c>
      <c r="C99" s="3" t="s">
        <v>35</v>
      </c>
      <c r="D99" s="3" t="s">
        <v>53</v>
      </c>
      <c r="E99" s="4">
        <v>18511</v>
      </c>
      <c r="F99" s="2">
        <v>380</v>
      </c>
      <c r="G99" s="2">
        <v>65</v>
      </c>
      <c r="H99" s="5">
        <v>45400</v>
      </c>
      <c r="I99" s="5">
        <v>46355</v>
      </c>
      <c r="J99" s="2">
        <v>31</v>
      </c>
      <c r="K99" s="3" t="s">
        <v>17</v>
      </c>
      <c r="L99" s="2">
        <v>10</v>
      </c>
      <c r="M99" s="2" t="s">
        <v>172</v>
      </c>
    </row>
    <row r="100" spans="1:13" ht="13.5" customHeight="1" x14ac:dyDescent="0.3">
      <c r="A100" s="2" t="s">
        <v>173</v>
      </c>
      <c r="B100" s="3" t="s">
        <v>20</v>
      </c>
      <c r="C100" s="3" t="s">
        <v>21</v>
      </c>
      <c r="D100" s="3" t="s">
        <v>53</v>
      </c>
      <c r="E100" s="4">
        <v>35896</v>
      </c>
      <c r="F100" s="2">
        <v>269</v>
      </c>
      <c r="G100" s="2">
        <v>21</v>
      </c>
      <c r="H100" s="5">
        <v>45313</v>
      </c>
      <c r="I100" s="5">
        <v>45855</v>
      </c>
      <c r="J100" s="2">
        <v>81</v>
      </c>
      <c r="K100" s="3" t="s">
        <v>28</v>
      </c>
      <c r="L100" s="2">
        <v>40</v>
      </c>
      <c r="M100" s="2" t="s">
        <v>18</v>
      </c>
    </row>
    <row r="101" spans="1:13" ht="13.5" customHeight="1" x14ac:dyDescent="0.3">
      <c r="A101" s="2" t="s">
        <v>174</v>
      </c>
      <c r="B101" s="3" t="s">
        <v>73</v>
      </c>
      <c r="C101" s="3" t="s">
        <v>40</v>
      </c>
      <c r="D101" s="3" t="s">
        <v>22</v>
      </c>
      <c r="E101" s="4">
        <v>9968</v>
      </c>
      <c r="F101" s="2">
        <v>430</v>
      </c>
      <c r="G101" s="2">
        <v>60</v>
      </c>
      <c r="H101" s="5">
        <v>45366</v>
      </c>
      <c r="I101" s="5">
        <v>45329</v>
      </c>
      <c r="J101" s="2">
        <v>174</v>
      </c>
      <c r="K101" s="3" t="s">
        <v>23</v>
      </c>
      <c r="L101" s="2">
        <v>86</v>
      </c>
      <c r="M101" s="2" t="s">
        <v>29</v>
      </c>
    </row>
    <row r="102" spans="1:13" ht="13.5" customHeight="1" x14ac:dyDescent="0.3">
      <c r="A102" s="2" t="s">
        <v>175</v>
      </c>
      <c r="B102" s="3" t="s">
        <v>68</v>
      </c>
      <c r="C102" s="3" t="s">
        <v>40</v>
      </c>
      <c r="D102" s="3" t="s">
        <v>43</v>
      </c>
      <c r="E102" s="4">
        <v>12123</v>
      </c>
      <c r="F102" s="2">
        <v>468</v>
      </c>
      <c r="G102" s="2">
        <v>22</v>
      </c>
      <c r="H102" s="5">
        <v>45551</v>
      </c>
      <c r="I102" s="5">
        <v>45993</v>
      </c>
      <c r="J102" s="2">
        <v>19</v>
      </c>
      <c r="K102" s="3" t="s">
        <v>28</v>
      </c>
      <c r="L102" s="2">
        <v>18</v>
      </c>
      <c r="M102" s="2" t="s">
        <v>18</v>
      </c>
    </row>
    <row r="103" spans="1:13" ht="13.5" customHeight="1" x14ac:dyDescent="0.3">
      <c r="A103" s="2" t="s">
        <v>176</v>
      </c>
      <c r="B103" s="3" t="s">
        <v>158</v>
      </c>
      <c r="C103" s="3" t="s">
        <v>15</v>
      </c>
      <c r="D103" s="3" t="s">
        <v>50</v>
      </c>
      <c r="E103" s="4">
        <v>26569</v>
      </c>
      <c r="F103" s="2">
        <v>289</v>
      </c>
      <c r="G103" s="2">
        <v>24</v>
      </c>
      <c r="H103" s="5">
        <v>45430</v>
      </c>
      <c r="I103" s="5">
        <v>46137</v>
      </c>
      <c r="J103" s="2">
        <v>11</v>
      </c>
      <c r="K103" s="3" t="s">
        <v>28</v>
      </c>
      <c r="L103" s="2">
        <v>5</v>
      </c>
      <c r="M103" s="2" t="s">
        <v>18</v>
      </c>
    </row>
    <row r="104" spans="1:13" ht="13.5" customHeight="1" x14ac:dyDescent="0.3">
      <c r="A104" s="2" t="s">
        <v>177</v>
      </c>
      <c r="B104" s="3" t="s">
        <v>102</v>
      </c>
      <c r="C104" s="3" t="s">
        <v>103</v>
      </c>
      <c r="D104" s="3" t="s">
        <v>22</v>
      </c>
      <c r="E104" s="4">
        <v>39469</v>
      </c>
      <c r="F104" s="2">
        <v>202</v>
      </c>
      <c r="G104" s="2">
        <v>53</v>
      </c>
      <c r="H104" s="5">
        <v>45362</v>
      </c>
      <c r="I104" s="5">
        <v>46128</v>
      </c>
      <c r="J104" s="2">
        <v>94</v>
      </c>
      <c r="K104" s="3" t="s">
        <v>91</v>
      </c>
      <c r="L104" s="2">
        <v>11</v>
      </c>
      <c r="M104" s="2" t="s">
        <v>24</v>
      </c>
    </row>
    <row r="105" spans="1:13" ht="13.5" customHeight="1" x14ac:dyDescent="0.3">
      <c r="A105" s="2" t="s">
        <v>178</v>
      </c>
      <c r="B105" s="3" t="s">
        <v>113</v>
      </c>
      <c r="C105" s="3" t="s">
        <v>114</v>
      </c>
      <c r="D105" s="3" t="s">
        <v>43</v>
      </c>
      <c r="E105" s="4">
        <v>27316</v>
      </c>
      <c r="F105" s="2">
        <v>424</v>
      </c>
      <c r="G105" s="2">
        <v>22</v>
      </c>
      <c r="H105" s="5">
        <v>45395</v>
      </c>
      <c r="I105" s="5">
        <v>46199</v>
      </c>
      <c r="J105" s="2">
        <v>144</v>
      </c>
      <c r="K105" s="3" t="s">
        <v>17</v>
      </c>
      <c r="L105" s="2">
        <v>38</v>
      </c>
      <c r="M105" s="2" t="s">
        <v>172</v>
      </c>
    </row>
    <row r="106" spans="1:13" ht="13.5" customHeight="1" x14ac:dyDescent="0.3">
      <c r="A106" s="2" t="s">
        <v>179</v>
      </c>
      <c r="B106" s="3" t="s">
        <v>65</v>
      </c>
      <c r="C106" s="3" t="s">
        <v>66</v>
      </c>
      <c r="D106" s="3" t="s">
        <v>50</v>
      </c>
      <c r="E106" s="4">
        <v>18702</v>
      </c>
      <c r="F106" s="2">
        <v>287</v>
      </c>
      <c r="G106" s="2">
        <v>34</v>
      </c>
      <c r="H106" s="5">
        <v>45459</v>
      </c>
      <c r="I106" s="5">
        <v>46079</v>
      </c>
      <c r="J106" s="2">
        <v>55</v>
      </c>
      <c r="K106" s="3" t="s">
        <v>28</v>
      </c>
      <c r="L106" s="2">
        <v>55</v>
      </c>
      <c r="M106" s="2" t="s">
        <v>37</v>
      </c>
    </row>
    <row r="107" spans="1:13" ht="13.5" customHeight="1" x14ac:dyDescent="0.3">
      <c r="A107" s="2" t="s">
        <v>180</v>
      </c>
      <c r="B107" s="3" t="s">
        <v>129</v>
      </c>
      <c r="C107" s="3" t="s">
        <v>130</v>
      </c>
      <c r="D107" s="3" t="s">
        <v>50</v>
      </c>
      <c r="E107" s="4">
        <v>35010</v>
      </c>
      <c r="F107" s="2">
        <v>120</v>
      </c>
      <c r="G107" s="2">
        <v>23</v>
      </c>
      <c r="H107" s="5">
        <v>45425</v>
      </c>
      <c r="I107" s="5">
        <v>45864</v>
      </c>
      <c r="J107" s="2">
        <v>21</v>
      </c>
      <c r="K107" s="3" t="s">
        <v>23</v>
      </c>
      <c r="L107" s="2">
        <v>21</v>
      </c>
      <c r="M107" s="2" t="s">
        <v>18</v>
      </c>
    </row>
    <row r="108" spans="1:13" ht="13.5" customHeight="1" x14ac:dyDescent="0.3">
      <c r="A108" s="2" t="s">
        <v>181</v>
      </c>
      <c r="B108" s="3" t="s">
        <v>70</v>
      </c>
      <c r="C108" s="3" t="s">
        <v>15</v>
      </c>
      <c r="D108" s="3" t="s">
        <v>16</v>
      </c>
      <c r="E108" s="4">
        <v>13829</v>
      </c>
      <c r="F108" s="2">
        <v>490</v>
      </c>
      <c r="G108" s="2">
        <v>67</v>
      </c>
      <c r="H108" s="5">
        <v>45334</v>
      </c>
      <c r="I108" s="5">
        <v>45969</v>
      </c>
      <c r="J108" s="2">
        <v>161</v>
      </c>
      <c r="K108" s="3" t="s">
        <v>23</v>
      </c>
      <c r="L108" s="2">
        <v>76</v>
      </c>
      <c r="M108" s="2" t="s">
        <v>71</v>
      </c>
    </row>
    <row r="109" spans="1:13" ht="13.5" customHeight="1" x14ac:dyDescent="0.3">
      <c r="A109" s="2" t="s">
        <v>182</v>
      </c>
      <c r="B109" s="3" t="s">
        <v>113</v>
      </c>
      <c r="C109" s="3" t="s">
        <v>114</v>
      </c>
      <c r="D109" s="3" t="s">
        <v>53</v>
      </c>
      <c r="E109" s="4">
        <v>7133</v>
      </c>
      <c r="F109" s="2">
        <v>53</v>
      </c>
      <c r="G109" s="2">
        <v>33</v>
      </c>
      <c r="H109" s="5">
        <v>45366</v>
      </c>
      <c r="I109" s="5">
        <v>45804</v>
      </c>
      <c r="J109" s="2">
        <v>53</v>
      </c>
      <c r="K109" s="3" t="s">
        <v>91</v>
      </c>
      <c r="L109" s="2">
        <v>35</v>
      </c>
      <c r="M109" s="2" t="s">
        <v>18</v>
      </c>
    </row>
    <row r="110" spans="1:13" ht="13.5" customHeight="1" x14ac:dyDescent="0.3">
      <c r="A110" s="2" t="s">
        <v>183</v>
      </c>
      <c r="B110" s="3" t="s">
        <v>111</v>
      </c>
      <c r="C110" s="3" t="s">
        <v>62</v>
      </c>
      <c r="D110" s="3" t="s">
        <v>50</v>
      </c>
      <c r="E110" s="4">
        <v>44026</v>
      </c>
      <c r="F110" s="2">
        <v>106</v>
      </c>
      <c r="G110" s="2">
        <v>38</v>
      </c>
      <c r="H110" s="5">
        <v>45308</v>
      </c>
      <c r="I110" s="5">
        <v>45848</v>
      </c>
      <c r="J110" s="2">
        <v>199</v>
      </c>
      <c r="K110" s="3" t="s">
        <v>36</v>
      </c>
      <c r="L110" s="2">
        <v>18</v>
      </c>
      <c r="M110" s="2" t="s">
        <v>18</v>
      </c>
    </row>
    <row r="111" spans="1:13" ht="13.5" customHeight="1" x14ac:dyDescent="0.3">
      <c r="A111" s="2" t="s">
        <v>184</v>
      </c>
      <c r="B111" s="3" t="s">
        <v>14</v>
      </c>
      <c r="C111" s="3" t="s">
        <v>15</v>
      </c>
      <c r="D111" s="3" t="s">
        <v>22</v>
      </c>
      <c r="E111" s="4">
        <v>34102</v>
      </c>
      <c r="F111" s="2">
        <v>330</v>
      </c>
      <c r="G111" s="2">
        <v>43</v>
      </c>
      <c r="H111" s="5">
        <v>45523</v>
      </c>
      <c r="I111" s="5">
        <v>46259</v>
      </c>
      <c r="J111" s="2">
        <v>35</v>
      </c>
      <c r="K111" s="3" t="s">
        <v>91</v>
      </c>
      <c r="L111" s="2">
        <v>13</v>
      </c>
      <c r="M111" s="2" t="s">
        <v>18</v>
      </c>
    </row>
    <row r="112" spans="1:13" ht="13.5" customHeight="1" x14ac:dyDescent="0.3">
      <c r="A112" s="2" t="s">
        <v>185</v>
      </c>
      <c r="B112" s="3" t="s">
        <v>125</v>
      </c>
      <c r="C112" s="3" t="s">
        <v>126</v>
      </c>
      <c r="D112" s="3" t="s">
        <v>43</v>
      </c>
      <c r="E112" s="4">
        <v>40591</v>
      </c>
      <c r="F112" s="2">
        <v>370</v>
      </c>
      <c r="G112" s="2">
        <v>78</v>
      </c>
      <c r="H112" s="5">
        <v>45535</v>
      </c>
      <c r="I112" s="5">
        <v>46377</v>
      </c>
      <c r="J112" s="2">
        <v>42</v>
      </c>
      <c r="K112" s="3" t="s">
        <v>23</v>
      </c>
      <c r="L112" s="2">
        <v>26</v>
      </c>
      <c r="M112" s="2" t="s">
        <v>18</v>
      </c>
    </row>
    <row r="113" spans="1:13" ht="13.5" customHeight="1" x14ac:dyDescent="0.3">
      <c r="A113" s="2" t="s">
        <v>186</v>
      </c>
      <c r="B113" s="3" t="s">
        <v>68</v>
      </c>
      <c r="C113" s="3" t="s">
        <v>40</v>
      </c>
      <c r="D113" s="3" t="s">
        <v>16</v>
      </c>
      <c r="E113" s="4">
        <v>5229</v>
      </c>
      <c r="F113" s="2">
        <v>257</v>
      </c>
      <c r="G113" s="2">
        <v>66</v>
      </c>
      <c r="H113" s="5">
        <v>45511</v>
      </c>
      <c r="I113" s="5">
        <v>45861</v>
      </c>
      <c r="J113" s="2">
        <v>112</v>
      </c>
      <c r="K113" s="3" t="s">
        <v>17</v>
      </c>
      <c r="L113" s="2">
        <v>79</v>
      </c>
      <c r="M113" s="2" t="s">
        <v>18</v>
      </c>
    </row>
    <row r="114" spans="1:13" ht="13.5" customHeight="1" x14ac:dyDescent="0.3">
      <c r="A114" s="2" t="s">
        <v>187</v>
      </c>
      <c r="B114" s="3" t="s">
        <v>20</v>
      </c>
      <c r="C114" s="3" t="s">
        <v>21</v>
      </c>
      <c r="D114" s="3" t="s">
        <v>50</v>
      </c>
      <c r="E114" s="4">
        <v>19689</v>
      </c>
      <c r="F114" s="2"/>
      <c r="G114" s="2">
        <v>59</v>
      </c>
      <c r="H114" s="5">
        <v>45370</v>
      </c>
      <c r="I114" s="5">
        <v>46200</v>
      </c>
      <c r="J114" s="2">
        <v>119</v>
      </c>
      <c r="K114" s="3" t="s">
        <v>36</v>
      </c>
      <c r="L114" s="2">
        <v>118</v>
      </c>
      <c r="M114" s="2" t="s">
        <v>18</v>
      </c>
    </row>
    <row r="115" spans="1:13" ht="13.5" customHeight="1" x14ac:dyDescent="0.3">
      <c r="A115" s="2" t="s">
        <v>188</v>
      </c>
      <c r="B115" s="3" t="s">
        <v>61</v>
      </c>
      <c r="C115" s="3" t="s">
        <v>62</v>
      </c>
      <c r="D115" s="3" t="s">
        <v>53</v>
      </c>
      <c r="E115" s="4">
        <v>2927</v>
      </c>
      <c r="F115" s="2">
        <v>460</v>
      </c>
      <c r="G115" s="2">
        <v>50</v>
      </c>
      <c r="H115" s="5">
        <v>45483</v>
      </c>
      <c r="I115" s="5">
        <v>45457</v>
      </c>
      <c r="J115" s="2">
        <v>110</v>
      </c>
      <c r="K115" s="3" t="s">
        <v>91</v>
      </c>
      <c r="L115" s="2">
        <v>60</v>
      </c>
      <c r="M115" s="2" t="s">
        <v>29</v>
      </c>
    </row>
    <row r="116" spans="1:13" ht="13.5" customHeight="1" x14ac:dyDescent="0.3">
      <c r="A116" s="2" t="s">
        <v>182</v>
      </c>
      <c r="B116" s="3" t="s">
        <v>113</v>
      </c>
      <c r="C116" s="3" t="s">
        <v>114</v>
      </c>
      <c r="D116" s="3" t="s">
        <v>53</v>
      </c>
      <c r="E116" s="4">
        <v>7133</v>
      </c>
      <c r="F116" s="2">
        <v>53</v>
      </c>
      <c r="G116" s="2">
        <v>33</v>
      </c>
      <c r="H116" s="5">
        <v>45366</v>
      </c>
      <c r="I116" s="5">
        <v>45804</v>
      </c>
      <c r="J116" s="2">
        <v>53</v>
      </c>
      <c r="K116" s="3" t="s">
        <v>91</v>
      </c>
      <c r="L116" s="2">
        <v>35</v>
      </c>
      <c r="M116" s="2" t="s">
        <v>18</v>
      </c>
    </row>
    <row r="117" spans="1:13" ht="13.5" customHeight="1" x14ac:dyDescent="0.3">
      <c r="A117" s="2" t="s">
        <v>189</v>
      </c>
      <c r="B117" s="3" t="s">
        <v>75</v>
      </c>
      <c r="C117" s="3" t="s">
        <v>76</v>
      </c>
      <c r="D117" s="3" t="s">
        <v>50</v>
      </c>
      <c r="E117" s="4">
        <v>20757</v>
      </c>
      <c r="F117" s="2">
        <v>196</v>
      </c>
      <c r="G117" s="2">
        <v>31</v>
      </c>
      <c r="H117" s="5">
        <v>45467</v>
      </c>
      <c r="I117" s="5">
        <v>46166</v>
      </c>
      <c r="J117" s="2">
        <v>176</v>
      </c>
      <c r="K117" s="3" t="s">
        <v>23</v>
      </c>
      <c r="L117" s="2">
        <v>9</v>
      </c>
      <c r="M117" s="2" t="s">
        <v>18</v>
      </c>
    </row>
    <row r="118" spans="1:13" ht="13.5" customHeight="1" x14ac:dyDescent="0.3">
      <c r="A118" s="2" t="s">
        <v>190</v>
      </c>
      <c r="B118" s="3" t="s">
        <v>93</v>
      </c>
      <c r="C118" s="3" t="s">
        <v>27</v>
      </c>
      <c r="D118" s="3" t="s">
        <v>53</v>
      </c>
      <c r="E118" s="4">
        <v>19205</v>
      </c>
      <c r="F118" s="2">
        <v>350</v>
      </c>
      <c r="G118" s="2">
        <v>78</v>
      </c>
      <c r="H118" s="5">
        <v>45387</v>
      </c>
      <c r="I118" s="5">
        <v>46370</v>
      </c>
      <c r="J118" s="2">
        <v>47</v>
      </c>
      <c r="K118" s="3" t="s">
        <v>36</v>
      </c>
      <c r="L118" s="2">
        <v>14</v>
      </c>
      <c r="M118" s="2" t="s">
        <v>18</v>
      </c>
    </row>
    <row r="119" spans="1:13" ht="13.5" customHeight="1" x14ac:dyDescent="0.3">
      <c r="A119" s="2" t="s">
        <v>191</v>
      </c>
      <c r="B119" s="3" t="s">
        <v>75</v>
      </c>
      <c r="C119" s="3" t="s">
        <v>76</v>
      </c>
      <c r="D119" s="3" t="s">
        <v>50</v>
      </c>
      <c r="E119" s="4">
        <v>38076</v>
      </c>
      <c r="F119" s="2">
        <v>165</v>
      </c>
      <c r="G119" s="2">
        <v>41</v>
      </c>
      <c r="H119" s="5">
        <v>45551</v>
      </c>
      <c r="I119" s="5">
        <v>46113</v>
      </c>
      <c r="J119" s="2">
        <v>15</v>
      </c>
      <c r="K119" s="3" t="s">
        <v>91</v>
      </c>
      <c r="L119" s="2">
        <v>10</v>
      </c>
      <c r="M119" s="2" t="s">
        <v>18</v>
      </c>
    </row>
    <row r="120" spans="1:13" ht="13.5" customHeight="1" x14ac:dyDescent="0.3">
      <c r="A120" s="2" t="s">
        <v>192</v>
      </c>
      <c r="B120" s="3" t="s">
        <v>79</v>
      </c>
      <c r="C120" s="3" t="s">
        <v>15</v>
      </c>
      <c r="D120" s="3" t="s">
        <v>16</v>
      </c>
      <c r="E120" s="4">
        <v>30812</v>
      </c>
      <c r="F120" s="2">
        <v>489</v>
      </c>
      <c r="G120" s="2">
        <v>80</v>
      </c>
      <c r="H120" s="5">
        <v>45532</v>
      </c>
      <c r="I120" s="5">
        <v>45734</v>
      </c>
      <c r="J120" s="2">
        <v>31</v>
      </c>
      <c r="K120" s="3" t="s">
        <v>28</v>
      </c>
      <c r="L120" s="2">
        <v>3</v>
      </c>
      <c r="M120" s="2" t="s">
        <v>18</v>
      </c>
    </row>
    <row r="121" spans="1:13" ht="13.5" customHeight="1" x14ac:dyDescent="0.3">
      <c r="A121" s="2" t="s">
        <v>193</v>
      </c>
      <c r="B121" s="3" t="s">
        <v>31</v>
      </c>
      <c r="C121" s="3" t="s">
        <v>27</v>
      </c>
      <c r="D121" s="3" t="s">
        <v>50</v>
      </c>
      <c r="E121" s="4">
        <v>42834</v>
      </c>
      <c r="F121" s="2">
        <v>443</v>
      </c>
      <c r="G121" s="2">
        <v>79</v>
      </c>
      <c r="H121" s="5">
        <v>45424</v>
      </c>
      <c r="I121" s="5">
        <v>46289</v>
      </c>
      <c r="J121" s="2">
        <v>103</v>
      </c>
      <c r="K121" s="3" t="s">
        <v>28</v>
      </c>
      <c r="L121" s="2">
        <v>3</v>
      </c>
      <c r="M121" s="2" t="s">
        <v>18</v>
      </c>
    </row>
    <row r="122" spans="1:13" ht="13.5" customHeight="1" x14ac:dyDescent="0.3">
      <c r="A122" s="2" t="s">
        <v>194</v>
      </c>
      <c r="B122" s="3" t="s">
        <v>81</v>
      </c>
      <c r="C122" s="3" t="s">
        <v>82</v>
      </c>
      <c r="D122" s="3" t="s">
        <v>22</v>
      </c>
      <c r="E122" s="4">
        <v>16394</v>
      </c>
      <c r="F122" s="2">
        <v>97</v>
      </c>
      <c r="G122" s="2">
        <v>57</v>
      </c>
      <c r="H122" s="5">
        <v>45555</v>
      </c>
      <c r="I122" s="5">
        <v>45768</v>
      </c>
      <c r="J122" s="2">
        <v>184</v>
      </c>
      <c r="K122" s="3" t="s">
        <v>28</v>
      </c>
      <c r="L122" s="2">
        <v>41</v>
      </c>
      <c r="M122" s="2" t="s">
        <v>18</v>
      </c>
    </row>
    <row r="123" spans="1:13" ht="13.5" customHeight="1" x14ac:dyDescent="0.3">
      <c r="A123" s="2" t="s">
        <v>195</v>
      </c>
      <c r="B123" s="3" t="s">
        <v>84</v>
      </c>
      <c r="C123" s="3" t="s">
        <v>27</v>
      </c>
      <c r="D123" s="3" t="s">
        <v>43</v>
      </c>
      <c r="E123" s="4">
        <v>44975</v>
      </c>
      <c r="F123" s="2">
        <v>472</v>
      </c>
      <c r="G123" s="2">
        <v>57</v>
      </c>
      <c r="H123" s="5">
        <v>45517</v>
      </c>
      <c r="I123" s="5">
        <v>46229</v>
      </c>
      <c r="J123" s="2">
        <v>163</v>
      </c>
      <c r="K123" s="3" t="s">
        <v>91</v>
      </c>
      <c r="L123" s="2">
        <v>15</v>
      </c>
      <c r="M123" s="2" t="s">
        <v>18</v>
      </c>
    </row>
    <row r="124" spans="1:13" ht="13.5" customHeight="1" x14ac:dyDescent="0.3">
      <c r="A124" s="2" t="s">
        <v>196</v>
      </c>
      <c r="B124" s="3" t="s">
        <v>102</v>
      </c>
      <c r="C124" s="3" t="s">
        <v>103</v>
      </c>
      <c r="D124" s="3" t="s">
        <v>22</v>
      </c>
      <c r="E124" s="4">
        <v>10245</v>
      </c>
      <c r="F124" s="2">
        <v>128</v>
      </c>
      <c r="G124" s="2">
        <v>52</v>
      </c>
      <c r="H124" s="5">
        <v>45310</v>
      </c>
      <c r="I124" s="5">
        <v>46287</v>
      </c>
      <c r="J124" s="2">
        <v>115</v>
      </c>
      <c r="K124" s="3" t="s">
        <v>23</v>
      </c>
      <c r="L124" s="2">
        <v>90</v>
      </c>
      <c r="M124" s="2" t="s">
        <v>18</v>
      </c>
    </row>
    <row r="125" spans="1:13" ht="13.5" customHeight="1" x14ac:dyDescent="0.3">
      <c r="A125" s="2" t="s">
        <v>197</v>
      </c>
      <c r="B125" s="3" t="s">
        <v>106</v>
      </c>
      <c r="C125" s="3" t="s">
        <v>49</v>
      </c>
      <c r="D125" s="3" t="s">
        <v>53</v>
      </c>
      <c r="E125" s="4">
        <v>10338</v>
      </c>
      <c r="F125" s="2">
        <v>60</v>
      </c>
      <c r="G125" s="2">
        <v>56</v>
      </c>
      <c r="H125" s="5">
        <v>45371</v>
      </c>
      <c r="I125" s="5">
        <v>45442</v>
      </c>
      <c r="J125" s="2">
        <v>84</v>
      </c>
      <c r="K125" s="3" t="s">
        <v>28</v>
      </c>
      <c r="L125" s="2">
        <v>63</v>
      </c>
      <c r="M125" s="2" t="s">
        <v>29</v>
      </c>
    </row>
    <row r="126" spans="1:13" ht="13.5" customHeight="1" x14ac:dyDescent="0.3">
      <c r="A126" s="2" t="s">
        <v>198</v>
      </c>
      <c r="B126" s="3" t="s">
        <v>42</v>
      </c>
      <c r="C126" s="3" t="s">
        <v>27</v>
      </c>
      <c r="D126" s="3" t="s">
        <v>43</v>
      </c>
      <c r="E126" s="4">
        <v>175</v>
      </c>
      <c r="F126" s="2">
        <v>434</v>
      </c>
      <c r="G126" s="2">
        <v>54</v>
      </c>
      <c r="H126" s="5">
        <v>45563</v>
      </c>
      <c r="I126" s="5">
        <v>46028</v>
      </c>
      <c r="J126" s="2">
        <v>26</v>
      </c>
      <c r="K126" s="3" t="s">
        <v>91</v>
      </c>
      <c r="L126" s="2">
        <v>16</v>
      </c>
      <c r="M126" s="2" t="s">
        <v>18</v>
      </c>
    </row>
    <row r="127" spans="1:13" ht="13.5" customHeight="1" x14ac:dyDescent="0.3">
      <c r="A127" s="2" t="s">
        <v>199</v>
      </c>
      <c r="B127" s="3" t="s">
        <v>26</v>
      </c>
      <c r="C127" s="3" t="s">
        <v>27</v>
      </c>
      <c r="D127" s="3" t="s">
        <v>53</v>
      </c>
      <c r="E127" s="4">
        <v>43634</v>
      </c>
      <c r="F127" s="2">
        <v>270</v>
      </c>
      <c r="G127" s="2">
        <v>38</v>
      </c>
      <c r="H127" s="5">
        <v>45396</v>
      </c>
      <c r="I127" s="5">
        <v>45749</v>
      </c>
      <c r="J127" s="2">
        <v>115</v>
      </c>
      <c r="K127" s="3" t="s">
        <v>23</v>
      </c>
      <c r="L127" s="2">
        <v>81</v>
      </c>
      <c r="M127" s="2" t="s">
        <v>18</v>
      </c>
    </row>
    <row r="128" spans="1:13" ht="13.5" customHeight="1" x14ac:dyDescent="0.3">
      <c r="A128" s="2" t="s">
        <v>200</v>
      </c>
      <c r="B128" s="3" t="s">
        <v>84</v>
      </c>
      <c r="C128" s="3" t="s">
        <v>27</v>
      </c>
      <c r="D128" s="3" t="s">
        <v>43</v>
      </c>
      <c r="E128" s="4">
        <v>27766</v>
      </c>
      <c r="F128" s="2"/>
      <c r="G128" s="2">
        <v>28</v>
      </c>
      <c r="H128" s="5">
        <v>45292</v>
      </c>
      <c r="I128" s="5">
        <v>45831</v>
      </c>
      <c r="J128" s="2">
        <v>72</v>
      </c>
      <c r="K128" s="3" t="s">
        <v>17</v>
      </c>
      <c r="L128" s="2">
        <v>44</v>
      </c>
      <c r="M128" s="2" t="s">
        <v>18</v>
      </c>
    </row>
    <row r="129" spans="1:13" ht="13.5" customHeight="1" x14ac:dyDescent="0.3">
      <c r="A129" s="2" t="s">
        <v>201</v>
      </c>
      <c r="B129" s="3" t="s">
        <v>68</v>
      </c>
      <c r="C129" s="3" t="s">
        <v>40</v>
      </c>
      <c r="D129" s="3" t="s">
        <v>22</v>
      </c>
      <c r="E129" s="4">
        <v>44549</v>
      </c>
      <c r="F129" s="2">
        <v>282</v>
      </c>
      <c r="G129" s="2">
        <v>32</v>
      </c>
      <c r="H129" s="5">
        <v>45407</v>
      </c>
      <c r="I129" s="5">
        <v>45742</v>
      </c>
      <c r="J129" s="2">
        <v>122</v>
      </c>
      <c r="K129" s="3" t="s">
        <v>91</v>
      </c>
      <c r="L129" s="2">
        <v>74</v>
      </c>
      <c r="M129" s="2" t="s">
        <v>71</v>
      </c>
    </row>
    <row r="130" spans="1:13" ht="13.5" customHeight="1" x14ac:dyDescent="0.3">
      <c r="A130" s="2" t="s">
        <v>202</v>
      </c>
      <c r="B130" s="3" t="s">
        <v>129</v>
      </c>
      <c r="C130" s="3" t="s">
        <v>130</v>
      </c>
      <c r="D130" s="3" t="s">
        <v>22</v>
      </c>
      <c r="E130" s="2"/>
      <c r="F130" s="2">
        <v>266</v>
      </c>
      <c r="G130" s="2">
        <v>66</v>
      </c>
      <c r="H130" s="5">
        <v>45320</v>
      </c>
      <c r="I130" s="5">
        <v>46352</v>
      </c>
      <c r="J130" s="2">
        <v>186</v>
      </c>
      <c r="K130" s="3" t="s">
        <v>36</v>
      </c>
      <c r="L130" s="2">
        <v>109</v>
      </c>
      <c r="M130" s="2" t="s">
        <v>37</v>
      </c>
    </row>
    <row r="131" spans="1:13" ht="13.5" customHeight="1" x14ac:dyDescent="0.3">
      <c r="A131" s="2" t="s">
        <v>203</v>
      </c>
      <c r="B131" s="3" t="s">
        <v>59</v>
      </c>
      <c r="C131" s="3" t="s">
        <v>40</v>
      </c>
      <c r="D131" s="3" t="s">
        <v>50</v>
      </c>
      <c r="E131" s="4">
        <v>43367</v>
      </c>
      <c r="F131" s="2">
        <v>394</v>
      </c>
      <c r="G131" s="2">
        <v>65</v>
      </c>
      <c r="H131" s="5">
        <v>45501</v>
      </c>
      <c r="I131" s="5">
        <v>46186</v>
      </c>
      <c r="J131" s="2">
        <v>141</v>
      </c>
      <c r="K131" s="3" t="s">
        <v>17</v>
      </c>
      <c r="L131" s="2">
        <v>39</v>
      </c>
      <c r="M131" s="2" t="s">
        <v>24</v>
      </c>
    </row>
    <row r="132" spans="1:13" ht="13.5" customHeight="1" x14ac:dyDescent="0.3">
      <c r="A132" s="2" t="s">
        <v>204</v>
      </c>
      <c r="B132" s="3" t="s">
        <v>158</v>
      </c>
      <c r="C132" s="3" t="s">
        <v>15</v>
      </c>
      <c r="D132" s="3" t="s">
        <v>50</v>
      </c>
      <c r="E132" s="4">
        <v>24471</v>
      </c>
      <c r="F132" s="2">
        <v>391</v>
      </c>
      <c r="G132" s="2">
        <v>29</v>
      </c>
      <c r="H132" s="5">
        <v>45554</v>
      </c>
      <c r="I132" s="5">
        <v>45386</v>
      </c>
      <c r="J132" s="2">
        <v>85</v>
      </c>
      <c r="K132" s="3" t="s">
        <v>91</v>
      </c>
      <c r="L132" s="2">
        <v>83</v>
      </c>
      <c r="M132" s="2" t="s">
        <v>29</v>
      </c>
    </row>
    <row r="133" spans="1:13" ht="13.5" customHeight="1" x14ac:dyDescent="0.3">
      <c r="A133" s="2" t="s">
        <v>157</v>
      </c>
      <c r="B133" s="3" t="s">
        <v>158</v>
      </c>
      <c r="C133" s="3" t="s">
        <v>15</v>
      </c>
      <c r="D133" s="3" t="s">
        <v>22</v>
      </c>
      <c r="E133" s="4">
        <v>30340</v>
      </c>
      <c r="F133" s="2">
        <v>44</v>
      </c>
      <c r="G133" s="2">
        <v>24</v>
      </c>
      <c r="H133" s="5">
        <v>45315</v>
      </c>
      <c r="I133" s="5">
        <v>45692</v>
      </c>
      <c r="J133" s="2">
        <v>177</v>
      </c>
      <c r="K133" s="3" t="s">
        <v>36</v>
      </c>
      <c r="L133" s="2">
        <v>39</v>
      </c>
      <c r="M133" s="2" t="s">
        <v>18</v>
      </c>
    </row>
    <row r="134" spans="1:13" ht="13.5" customHeight="1" x14ac:dyDescent="0.3">
      <c r="A134" s="2" t="s">
        <v>205</v>
      </c>
      <c r="B134" s="3" t="s">
        <v>147</v>
      </c>
      <c r="C134" s="3" t="s">
        <v>103</v>
      </c>
      <c r="D134" s="3" t="s">
        <v>16</v>
      </c>
      <c r="E134" s="4">
        <v>29020</v>
      </c>
      <c r="F134" s="2">
        <v>99</v>
      </c>
      <c r="G134" s="2">
        <v>56</v>
      </c>
      <c r="H134" s="5">
        <v>45493</v>
      </c>
      <c r="I134" s="5">
        <v>46248</v>
      </c>
      <c r="J134" s="2">
        <v>23</v>
      </c>
      <c r="K134" s="3" t="s">
        <v>36</v>
      </c>
      <c r="L134" s="2">
        <v>3</v>
      </c>
      <c r="M134" s="2" t="s">
        <v>18</v>
      </c>
    </row>
    <row r="135" spans="1:13" ht="13.5" customHeight="1" x14ac:dyDescent="0.3">
      <c r="A135" s="2" t="s">
        <v>206</v>
      </c>
      <c r="B135" s="3" t="s">
        <v>75</v>
      </c>
      <c r="C135" s="3" t="s">
        <v>76</v>
      </c>
      <c r="D135" s="3" t="s">
        <v>50</v>
      </c>
      <c r="E135" s="4">
        <v>41080</v>
      </c>
      <c r="F135" s="2">
        <v>156</v>
      </c>
      <c r="G135" s="2">
        <v>26</v>
      </c>
      <c r="H135" s="5">
        <v>45344</v>
      </c>
      <c r="I135" s="5">
        <v>46301</v>
      </c>
      <c r="J135" s="2">
        <v>36</v>
      </c>
      <c r="K135" s="3" t="s">
        <v>17</v>
      </c>
      <c r="L135" s="2">
        <v>2</v>
      </c>
      <c r="M135" s="2" t="s">
        <v>18</v>
      </c>
    </row>
    <row r="136" spans="1:13" ht="13.5" customHeight="1" x14ac:dyDescent="0.3">
      <c r="A136" s="2" t="s">
        <v>207</v>
      </c>
      <c r="B136" s="3" t="s">
        <v>125</v>
      </c>
      <c r="C136" s="3" t="s">
        <v>126</v>
      </c>
      <c r="D136" s="3" t="s">
        <v>16</v>
      </c>
      <c r="E136" s="4">
        <v>40398</v>
      </c>
      <c r="F136" s="2">
        <v>16</v>
      </c>
      <c r="G136" s="2">
        <v>24</v>
      </c>
      <c r="H136" s="5">
        <v>45400</v>
      </c>
      <c r="I136" s="5">
        <v>45711</v>
      </c>
      <c r="J136" s="2">
        <v>163</v>
      </c>
      <c r="K136" s="3" t="s">
        <v>91</v>
      </c>
      <c r="L136" s="2">
        <v>11</v>
      </c>
      <c r="M136" s="2" t="s">
        <v>32</v>
      </c>
    </row>
    <row r="137" spans="1:13" ht="13.5" customHeight="1" x14ac:dyDescent="0.3">
      <c r="A137" s="2" t="s">
        <v>208</v>
      </c>
      <c r="B137" s="3" t="s">
        <v>70</v>
      </c>
      <c r="C137" s="3" t="s">
        <v>15</v>
      </c>
      <c r="D137" s="3" t="s">
        <v>22</v>
      </c>
      <c r="E137" s="4">
        <v>34686</v>
      </c>
      <c r="F137" s="2">
        <v>356</v>
      </c>
      <c r="G137" s="2">
        <v>31</v>
      </c>
      <c r="H137" s="5">
        <v>45390</v>
      </c>
      <c r="I137" s="5">
        <v>45745</v>
      </c>
      <c r="J137" s="2">
        <v>197</v>
      </c>
      <c r="K137" s="3" t="s">
        <v>17</v>
      </c>
      <c r="L137" s="2">
        <v>7</v>
      </c>
      <c r="M137" s="2" t="s">
        <v>18</v>
      </c>
    </row>
    <row r="138" spans="1:13" ht="13.5" customHeight="1" x14ac:dyDescent="0.3">
      <c r="A138" s="2" t="s">
        <v>209</v>
      </c>
      <c r="B138" s="3" t="s">
        <v>65</v>
      </c>
      <c r="C138" s="3" t="s">
        <v>66</v>
      </c>
      <c r="D138" s="3" t="s">
        <v>43</v>
      </c>
      <c r="E138" s="4">
        <v>16119</v>
      </c>
      <c r="F138" s="2">
        <v>161</v>
      </c>
      <c r="G138" s="2">
        <v>53</v>
      </c>
      <c r="H138" s="5">
        <v>45550</v>
      </c>
      <c r="I138" s="5">
        <v>45408</v>
      </c>
      <c r="J138" s="2">
        <v>97</v>
      </c>
      <c r="K138" s="3" t="s">
        <v>36</v>
      </c>
      <c r="L138" s="2">
        <v>83</v>
      </c>
      <c r="M138" s="2" t="s">
        <v>29</v>
      </c>
    </row>
    <row r="139" spans="1:13" ht="13.5" customHeight="1" x14ac:dyDescent="0.3">
      <c r="A139" s="2" t="s">
        <v>210</v>
      </c>
      <c r="B139" s="3" t="s">
        <v>61</v>
      </c>
      <c r="C139" s="3" t="s">
        <v>62</v>
      </c>
      <c r="D139" s="3" t="s">
        <v>50</v>
      </c>
      <c r="E139" s="4">
        <v>31343</v>
      </c>
      <c r="F139" s="2">
        <v>492</v>
      </c>
      <c r="G139" s="2">
        <v>32</v>
      </c>
      <c r="H139" s="5">
        <v>45544</v>
      </c>
      <c r="I139" s="5">
        <v>45356</v>
      </c>
      <c r="J139" s="2">
        <v>27</v>
      </c>
      <c r="K139" s="3" t="s">
        <v>17</v>
      </c>
      <c r="L139" s="2">
        <v>14</v>
      </c>
      <c r="M139" s="2" t="s">
        <v>29</v>
      </c>
    </row>
    <row r="140" spans="1:13" ht="13.5" customHeight="1" x14ac:dyDescent="0.3">
      <c r="A140" s="2" t="s">
        <v>211</v>
      </c>
      <c r="B140" s="3" t="s">
        <v>59</v>
      </c>
      <c r="C140" s="3" t="s">
        <v>40</v>
      </c>
      <c r="D140" s="3" t="s">
        <v>16</v>
      </c>
      <c r="E140" s="4">
        <v>25395</v>
      </c>
      <c r="F140" s="2">
        <v>446</v>
      </c>
      <c r="G140" s="2">
        <v>50</v>
      </c>
      <c r="H140" s="5">
        <v>45480</v>
      </c>
      <c r="I140" s="5">
        <v>45734</v>
      </c>
      <c r="J140" s="2">
        <v>187</v>
      </c>
      <c r="K140" s="3" t="s">
        <v>91</v>
      </c>
      <c r="L140" s="2">
        <v>154</v>
      </c>
      <c r="M140" s="2" t="s">
        <v>18</v>
      </c>
    </row>
    <row r="141" spans="1:13" ht="13.5" customHeight="1" x14ac:dyDescent="0.3">
      <c r="A141" s="2" t="s">
        <v>212</v>
      </c>
      <c r="B141" s="3" t="s">
        <v>45</v>
      </c>
      <c r="C141" s="3" t="s">
        <v>46</v>
      </c>
      <c r="D141" s="3" t="s">
        <v>16</v>
      </c>
      <c r="E141" s="4">
        <v>29622</v>
      </c>
      <c r="F141" s="2">
        <v>485</v>
      </c>
      <c r="G141" s="2">
        <v>41</v>
      </c>
      <c r="H141" s="5">
        <v>45554</v>
      </c>
      <c r="I141" s="5">
        <v>45689</v>
      </c>
      <c r="J141" s="2">
        <v>63</v>
      </c>
      <c r="K141" s="3" t="s">
        <v>23</v>
      </c>
      <c r="L141" s="2">
        <v>1</v>
      </c>
      <c r="M141" s="2" t="s">
        <v>18</v>
      </c>
    </row>
    <row r="142" spans="1:13" ht="13.5" customHeight="1" x14ac:dyDescent="0.3">
      <c r="A142" s="2" t="s">
        <v>213</v>
      </c>
      <c r="B142" s="3" t="s">
        <v>34</v>
      </c>
      <c r="C142" s="3" t="s">
        <v>35</v>
      </c>
      <c r="D142" s="3" t="s">
        <v>43</v>
      </c>
      <c r="E142" s="4">
        <v>18907</v>
      </c>
      <c r="F142" s="2">
        <v>233</v>
      </c>
      <c r="G142" s="2">
        <v>41</v>
      </c>
      <c r="H142" s="5">
        <v>45555</v>
      </c>
      <c r="I142" s="5">
        <v>46148</v>
      </c>
      <c r="J142" s="2">
        <v>115</v>
      </c>
      <c r="K142" s="3" t="s">
        <v>91</v>
      </c>
      <c r="L142" s="2">
        <v>114</v>
      </c>
      <c r="M142" s="2" t="s">
        <v>18</v>
      </c>
    </row>
    <row r="143" spans="1:13" ht="13.5" customHeight="1" x14ac:dyDescent="0.3">
      <c r="A143" s="2" t="s">
        <v>214</v>
      </c>
      <c r="B143" s="3" t="s">
        <v>73</v>
      </c>
      <c r="C143" s="3" t="s">
        <v>40</v>
      </c>
      <c r="D143" s="3" t="s">
        <v>22</v>
      </c>
      <c r="E143" s="4">
        <v>44210</v>
      </c>
      <c r="F143" s="2">
        <v>63</v>
      </c>
      <c r="G143" s="2">
        <v>78</v>
      </c>
      <c r="H143" s="5">
        <v>45397</v>
      </c>
      <c r="I143" s="5">
        <v>46072</v>
      </c>
      <c r="J143" s="2">
        <v>158</v>
      </c>
      <c r="K143" s="3" t="s">
        <v>17</v>
      </c>
      <c r="L143" s="2">
        <v>9</v>
      </c>
      <c r="M143" s="2" t="s">
        <v>32</v>
      </c>
    </row>
    <row r="144" spans="1:13" ht="13.5" customHeight="1" x14ac:dyDescent="0.3">
      <c r="A144" s="2" t="s">
        <v>215</v>
      </c>
      <c r="B144" s="3" t="s">
        <v>34</v>
      </c>
      <c r="C144" s="3" t="s">
        <v>35</v>
      </c>
      <c r="D144" s="3" t="s">
        <v>53</v>
      </c>
      <c r="E144" s="4">
        <v>43651</v>
      </c>
      <c r="F144" s="2">
        <v>164</v>
      </c>
      <c r="G144" s="2">
        <v>61</v>
      </c>
      <c r="H144" s="5">
        <v>45522</v>
      </c>
      <c r="I144" s="5">
        <v>46012</v>
      </c>
      <c r="J144" s="2">
        <v>42</v>
      </c>
      <c r="K144" s="3" t="s">
        <v>23</v>
      </c>
      <c r="L144" s="2">
        <v>21</v>
      </c>
      <c r="M144" s="2" t="s">
        <v>18</v>
      </c>
    </row>
    <row r="145" spans="1:13" ht="13.5" customHeight="1" x14ac:dyDescent="0.3">
      <c r="A145" s="2" t="s">
        <v>216</v>
      </c>
      <c r="B145" s="3" t="s">
        <v>158</v>
      </c>
      <c r="C145" s="3" t="s">
        <v>15</v>
      </c>
      <c r="D145" s="3" t="s">
        <v>53</v>
      </c>
      <c r="E145" s="4">
        <v>29425</v>
      </c>
      <c r="F145" s="2">
        <v>316</v>
      </c>
      <c r="G145" s="2">
        <v>27</v>
      </c>
      <c r="H145" s="5">
        <v>45475</v>
      </c>
      <c r="I145" s="5">
        <v>45748</v>
      </c>
      <c r="J145" s="2">
        <v>71</v>
      </c>
      <c r="K145" s="3" t="s">
        <v>23</v>
      </c>
      <c r="L145" s="2">
        <v>42</v>
      </c>
      <c r="M145" s="2" t="s">
        <v>18</v>
      </c>
    </row>
    <row r="146" spans="1:13" ht="13.5" customHeight="1" x14ac:dyDescent="0.3">
      <c r="A146" s="2" t="s">
        <v>217</v>
      </c>
      <c r="B146" s="3" t="s">
        <v>31</v>
      </c>
      <c r="C146" s="3" t="s">
        <v>27</v>
      </c>
      <c r="D146" s="3" t="s">
        <v>53</v>
      </c>
      <c r="E146" s="4">
        <v>1106</v>
      </c>
      <c r="F146" s="2">
        <v>283</v>
      </c>
      <c r="G146" s="2">
        <v>33</v>
      </c>
      <c r="H146" s="5">
        <v>45429</v>
      </c>
      <c r="I146" s="5">
        <v>45718</v>
      </c>
      <c r="J146" s="2">
        <v>50</v>
      </c>
      <c r="K146" s="3" t="s">
        <v>91</v>
      </c>
      <c r="L146" s="2">
        <v>29</v>
      </c>
      <c r="M146" s="2" t="s">
        <v>18</v>
      </c>
    </row>
    <row r="147" spans="1:13" ht="13.5" customHeight="1" x14ac:dyDescent="0.3">
      <c r="A147" s="2" t="s">
        <v>218</v>
      </c>
      <c r="B147" s="3" t="s">
        <v>75</v>
      </c>
      <c r="C147" s="3" t="s">
        <v>76</v>
      </c>
      <c r="D147" s="3" t="s">
        <v>43</v>
      </c>
      <c r="E147" s="4">
        <v>31738</v>
      </c>
      <c r="F147" s="2">
        <v>457</v>
      </c>
      <c r="G147" s="2">
        <v>35</v>
      </c>
      <c r="H147" s="5">
        <v>45345</v>
      </c>
      <c r="I147" s="5">
        <v>45322</v>
      </c>
      <c r="J147" s="2">
        <v>95</v>
      </c>
      <c r="K147" s="3" t="s">
        <v>28</v>
      </c>
      <c r="L147" s="2">
        <v>27</v>
      </c>
      <c r="M147" s="2" t="s">
        <v>29</v>
      </c>
    </row>
    <row r="148" spans="1:13" ht="13.5" customHeight="1" x14ac:dyDescent="0.3">
      <c r="A148" s="2" t="s">
        <v>219</v>
      </c>
      <c r="B148" s="3" t="s">
        <v>42</v>
      </c>
      <c r="C148" s="3" t="s">
        <v>27</v>
      </c>
      <c r="D148" s="3" t="s">
        <v>53</v>
      </c>
      <c r="E148" s="4">
        <v>35119</v>
      </c>
      <c r="F148" s="2">
        <v>203</v>
      </c>
      <c r="G148" s="2">
        <v>39</v>
      </c>
      <c r="H148" s="5">
        <v>45368</v>
      </c>
      <c r="I148" s="5">
        <v>45993</v>
      </c>
      <c r="J148" s="2">
        <v>76</v>
      </c>
      <c r="K148" s="3" t="s">
        <v>36</v>
      </c>
      <c r="L148" s="2">
        <v>11</v>
      </c>
      <c r="M148" s="2" t="s">
        <v>18</v>
      </c>
    </row>
    <row r="149" spans="1:13" ht="13.5" customHeight="1" x14ac:dyDescent="0.3">
      <c r="A149" s="2" t="s">
        <v>220</v>
      </c>
      <c r="B149" s="3" t="s">
        <v>68</v>
      </c>
      <c r="C149" s="3" t="s">
        <v>40</v>
      </c>
      <c r="D149" s="3" t="s">
        <v>50</v>
      </c>
      <c r="E149" s="4">
        <v>24133</v>
      </c>
      <c r="F149" s="2">
        <v>127</v>
      </c>
      <c r="G149" s="2">
        <v>66</v>
      </c>
      <c r="H149" s="5">
        <v>45379</v>
      </c>
      <c r="I149" s="5">
        <v>45803</v>
      </c>
      <c r="J149" s="2">
        <v>132</v>
      </c>
      <c r="K149" s="3" t="s">
        <v>23</v>
      </c>
      <c r="L149" s="2">
        <v>0</v>
      </c>
      <c r="M149" s="2" t="s">
        <v>18</v>
      </c>
    </row>
    <row r="150" spans="1:13" ht="13.5" customHeight="1" x14ac:dyDescent="0.3">
      <c r="A150" s="2" t="s">
        <v>221</v>
      </c>
      <c r="B150" s="3" t="s">
        <v>129</v>
      </c>
      <c r="C150" s="3" t="s">
        <v>130</v>
      </c>
      <c r="D150" s="3" t="s">
        <v>16</v>
      </c>
      <c r="E150" s="4">
        <v>16038</v>
      </c>
      <c r="F150" s="2">
        <v>398</v>
      </c>
      <c r="G150" s="2">
        <v>61</v>
      </c>
      <c r="H150" s="5">
        <v>45357</v>
      </c>
      <c r="I150" s="5">
        <v>45760</v>
      </c>
      <c r="J150" s="2">
        <v>55</v>
      </c>
      <c r="K150" s="3" t="s">
        <v>91</v>
      </c>
      <c r="L150" s="2">
        <v>49</v>
      </c>
      <c r="M150" s="2" t="s">
        <v>18</v>
      </c>
    </row>
    <row r="151" spans="1:13" ht="13.5" customHeight="1" x14ac:dyDescent="0.3">
      <c r="A151" s="2" t="s">
        <v>222</v>
      </c>
      <c r="B151" s="3" t="s">
        <v>31</v>
      </c>
      <c r="C151" s="3" t="s">
        <v>27</v>
      </c>
      <c r="D151" s="3" t="s">
        <v>50</v>
      </c>
      <c r="E151" s="4">
        <v>22081</v>
      </c>
      <c r="F151" s="2">
        <v>346</v>
      </c>
      <c r="G151" s="2">
        <v>24</v>
      </c>
      <c r="H151" s="5">
        <v>45565</v>
      </c>
      <c r="I151" s="5">
        <v>46351</v>
      </c>
      <c r="J151" s="2">
        <v>109</v>
      </c>
      <c r="K151" s="3" t="s">
        <v>23</v>
      </c>
      <c r="L151" s="2">
        <v>43</v>
      </c>
      <c r="M151" s="2" t="s">
        <v>18</v>
      </c>
    </row>
    <row r="152" spans="1:13" ht="13.5" customHeight="1" x14ac:dyDescent="0.3">
      <c r="A152" s="2" t="s">
        <v>223</v>
      </c>
      <c r="B152" s="3" t="s">
        <v>147</v>
      </c>
      <c r="C152" s="3" t="s">
        <v>103</v>
      </c>
      <c r="D152" s="3" t="s">
        <v>16</v>
      </c>
      <c r="E152" s="4">
        <v>8809</v>
      </c>
      <c r="F152" s="2">
        <v>443</v>
      </c>
      <c r="G152" s="2">
        <v>49</v>
      </c>
      <c r="H152" s="5">
        <v>45336</v>
      </c>
      <c r="I152" s="5">
        <v>46189</v>
      </c>
      <c r="J152" s="2">
        <v>160</v>
      </c>
      <c r="K152" s="3" t="s">
        <v>17</v>
      </c>
      <c r="L152" s="2">
        <v>160</v>
      </c>
      <c r="M152" s="2" t="s">
        <v>18</v>
      </c>
    </row>
    <row r="153" spans="1:13" ht="13.5" customHeight="1" x14ac:dyDescent="0.3">
      <c r="A153" s="2" t="s">
        <v>224</v>
      </c>
      <c r="B153" s="3" t="s">
        <v>93</v>
      </c>
      <c r="C153" s="3" t="s">
        <v>27</v>
      </c>
      <c r="D153" s="3" t="s">
        <v>43</v>
      </c>
      <c r="E153" s="4">
        <v>40688</v>
      </c>
      <c r="F153" s="2">
        <v>173</v>
      </c>
      <c r="G153" s="2">
        <v>55</v>
      </c>
      <c r="H153" s="5">
        <v>45468</v>
      </c>
      <c r="I153" s="5">
        <v>45397</v>
      </c>
      <c r="J153" s="2">
        <v>114</v>
      </c>
      <c r="K153" s="3" t="s">
        <v>28</v>
      </c>
      <c r="L153" s="2">
        <v>109</v>
      </c>
      <c r="M153" s="2" t="s">
        <v>29</v>
      </c>
    </row>
    <row r="154" spans="1:13" ht="13.5" customHeight="1" x14ac:dyDescent="0.3">
      <c r="A154" s="2" t="s">
        <v>225</v>
      </c>
      <c r="B154" s="3" t="s">
        <v>79</v>
      </c>
      <c r="C154" s="3" t="s">
        <v>15</v>
      </c>
      <c r="D154" s="3" t="s">
        <v>43</v>
      </c>
      <c r="E154" s="4">
        <v>23467</v>
      </c>
      <c r="F154" s="2">
        <v>121</v>
      </c>
      <c r="G154" s="2">
        <v>79</v>
      </c>
      <c r="H154" s="5">
        <v>45439</v>
      </c>
      <c r="I154" s="5">
        <v>45994</v>
      </c>
      <c r="J154" s="2">
        <v>86</v>
      </c>
      <c r="K154" s="3" t="s">
        <v>91</v>
      </c>
      <c r="L154" s="2">
        <v>14</v>
      </c>
      <c r="M154" s="2" t="s">
        <v>18</v>
      </c>
    </row>
    <row r="155" spans="1:13" x14ac:dyDescent="0.3">
      <c r="A155" s="20"/>
      <c r="B155" s="20"/>
      <c r="C155" s="20"/>
      <c r="D155" s="20"/>
      <c r="E155" s="20"/>
      <c r="F155" s="20"/>
      <c r="G155" s="20"/>
      <c r="H155" s="20"/>
    </row>
  </sheetData>
  <mergeCells count="1">
    <mergeCell ref="A155:H15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B5DE-A69A-4284-B6E4-EC1CC1A90A88}">
  <dimension ref="A1:AC155"/>
  <sheetViews>
    <sheetView topLeftCell="H1" zoomScale="88" zoomScaleNormal="88" workbookViewId="0">
      <pane ySplit="1" topLeftCell="A114" activePane="bottomLeft" state="frozen"/>
      <selection pane="bottomLeft" activeCell="T147" sqref="T147"/>
    </sheetView>
  </sheetViews>
  <sheetFormatPr defaultColWidth="8.6640625" defaultRowHeight="14.4" x14ac:dyDescent="0.3"/>
  <cols>
    <col min="1" max="1" width="12" customWidth="1"/>
    <col min="2" max="2" width="28" customWidth="1"/>
    <col min="3" max="3" width="20" customWidth="1"/>
    <col min="4" max="4" width="22" customWidth="1"/>
    <col min="5" max="5" width="16" customWidth="1"/>
    <col min="6" max="7" width="14" customWidth="1"/>
    <col min="8" max="8" width="15" customWidth="1"/>
    <col min="9" max="9" width="14" customWidth="1"/>
    <col min="10" max="10" width="16" customWidth="1"/>
    <col min="11" max="11" width="18" customWidth="1"/>
    <col min="12" max="12" width="22.6640625" customWidth="1"/>
    <col min="13" max="13" width="15.77734375" customWidth="1"/>
    <col min="14" max="14" width="14" customWidth="1"/>
    <col min="15" max="15" width="14.109375" customWidth="1"/>
    <col min="16" max="16" width="14.88671875" customWidth="1"/>
    <col min="17" max="17" width="19.44140625" style="9" customWidth="1"/>
    <col min="18" max="18" width="15.33203125" customWidth="1"/>
    <col min="20" max="20" width="21.88671875" customWidth="1"/>
    <col min="21" max="21" width="22.44140625" customWidth="1"/>
    <col min="23" max="23" width="16" style="13" customWidth="1"/>
    <col min="24" max="24" width="13.44140625" customWidth="1"/>
    <col min="25" max="25" width="23.44140625" customWidth="1"/>
    <col min="28" max="28" width="17.21875" customWidth="1"/>
  </cols>
  <sheetData>
    <row r="1" spans="1:29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252</v>
      </c>
      <c r="O1" s="1" t="s">
        <v>253</v>
      </c>
      <c r="P1" s="1" t="s">
        <v>254</v>
      </c>
      <c r="Q1" s="8" t="s">
        <v>255</v>
      </c>
      <c r="R1" s="1" t="s">
        <v>256</v>
      </c>
      <c r="S1" s="1" t="s">
        <v>257</v>
      </c>
      <c r="T1" s="1" t="s">
        <v>259</v>
      </c>
      <c r="U1" s="12" t="s">
        <v>265</v>
      </c>
      <c r="V1" t="s">
        <v>258</v>
      </c>
      <c r="W1" s="13" t="s">
        <v>262</v>
      </c>
      <c r="X1" t="s">
        <v>10</v>
      </c>
      <c r="Y1" t="s">
        <v>260</v>
      </c>
      <c r="Z1" t="s">
        <v>261</v>
      </c>
      <c r="AB1" t="s">
        <v>3</v>
      </c>
      <c r="AC1" t="s">
        <v>258</v>
      </c>
    </row>
    <row r="2" spans="1:29" ht="13.5" customHeight="1" x14ac:dyDescent="0.3">
      <c r="A2" s="2" t="s">
        <v>13</v>
      </c>
      <c r="B2" s="3" t="s">
        <v>14</v>
      </c>
      <c r="C2" s="3" t="s">
        <v>15</v>
      </c>
      <c r="D2" s="11" t="s">
        <v>16</v>
      </c>
      <c r="E2" s="4">
        <v>28477</v>
      </c>
      <c r="F2" s="2">
        <v>394</v>
      </c>
      <c r="G2" s="2">
        <v>27</v>
      </c>
      <c r="H2" s="5">
        <v>45543</v>
      </c>
      <c r="I2" s="5">
        <v>45901</v>
      </c>
      <c r="J2" s="2">
        <v>49</v>
      </c>
      <c r="K2" s="3" t="s">
        <v>17</v>
      </c>
      <c r="L2" s="2">
        <v>39</v>
      </c>
      <c r="M2" s="2" t="s">
        <v>18</v>
      </c>
      <c r="N2" t="str">
        <f>IF(E2 ="","Missing","Recorded")</f>
        <v>Recorded</v>
      </c>
      <c r="O2" t="str">
        <f>IF(F2 ="","Missing","Recorded")</f>
        <v>Recorded</v>
      </c>
      <c r="P2" t="str">
        <f ca="1">IF(I2&lt;TODAY(),"Expired","Active")</f>
        <v>Expired</v>
      </c>
      <c r="Q2" s="9">
        <f ca="1">I2-TODAY()</f>
        <v>-311</v>
      </c>
      <c r="R2" t="str">
        <f ca="1">IF(Q2&lt;0,"Expired",IF(Q2&lt;=90,"Expiring Soon","OK"))</f>
        <v>Expired</v>
      </c>
      <c r="S2" s="10">
        <f>IFERROR(F2/J2,"N/A")</f>
        <v>8.0408163265306118</v>
      </c>
      <c r="T2">
        <f>IFERROR(E2*F2,0)</f>
        <v>11219938</v>
      </c>
      <c r="U2" t="s">
        <v>103</v>
      </c>
      <c r="V2">
        <f>COUNTIF($C$2:$C$151,U2)</f>
        <v>10</v>
      </c>
      <c r="W2" s="13">
        <f>AVERAGEIF($C$2:$C$151,U2,$E$2:$E$151)</f>
        <v>26224.3</v>
      </c>
      <c r="X2" t="s">
        <v>36</v>
      </c>
      <c r="Y2">
        <f>SUMIF($K$2:$K$151,X2,$T$2:$T$151)</f>
        <v>137891944</v>
      </c>
      <c r="Z2" t="str">
        <f>IF(F2&lt;G2,"Yes","No")</f>
        <v>No</v>
      </c>
      <c r="AB2" t="s">
        <v>16</v>
      </c>
      <c r="AC2">
        <f>COUNTIF($D$2:$D$151,AB2)</f>
        <v>23</v>
      </c>
    </row>
    <row r="3" spans="1:29" ht="13.5" customHeight="1" x14ac:dyDescent="0.3">
      <c r="A3" s="2" t="s">
        <v>19</v>
      </c>
      <c r="B3" s="3" t="s">
        <v>20</v>
      </c>
      <c r="C3" s="3" t="s">
        <v>21</v>
      </c>
      <c r="D3" s="3" t="s">
        <v>22</v>
      </c>
      <c r="E3" s="4">
        <v>29850</v>
      </c>
      <c r="F3" s="2">
        <v>267</v>
      </c>
      <c r="G3" s="2">
        <v>67</v>
      </c>
      <c r="H3" s="5">
        <v>45562</v>
      </c>
      <c r="I3" s="5">
        <v>45946</v>
      </c>
      <c r="J3" s="2">
        <v>152</v>
      </c>
      <c r="K3" s="3" t="s">
        <v>23</v>
      </c>
      <c r="L3" s="2">
        <v>36</v>
      </c>
      <c r="M3" s="2" t="s">
        <v>32</v>
      </c>
      <c r="N3" t="str">
        <f t="shared" ref="N3:N66" si="0">IF(E3 ="","Missing","Recorded")</f>
        <v>Recorded</v>
      </c>
      <c r="O3" t="str">
        <f t="shared" ref="O3:O66" si="1">IF(F3 ="","Missing","Recorded")</f>
        <v>Recorded</v>
      </c>
      <c r="P3" t="str">
        <f t="shared" ref="P3:P66" ca="1" si="2">IF(I3&lt;TODAY(),"Expired","Active")</f>
        <v>Expired</v>
      </c>
      <c r="Q3" s="9">
        <f ca="1">I3-TODAY()</f>
        <v>-266</v>
      </c>
      <c r="R3" t="str">
        <f t="shared" ref="R3:R66" ca="1" si="3">IF(Q3&lt;0,"Expired",IF(Q3&lt;=90,"Expiring Soon","OK"))</f>
        <v>Expired</v>
      </c>
      <c r="S3" s="10">
        <f t="shared" ref="S3:S66" si="4">IFERROR(F3/J3,"N/A")</f>
        <v>1.756578947368421</v>
      </c>
      <c r="T3">
        <f t="shared" ref="T3:T66" si="5">IFERROR(E3*F3,0)</f>
        <v>7969950</v>
      </c>
      <c r="U3" t="s">
        <v>126</v>
      </c>
      <c r="V3">
        <f t="shared" ref="V3:V16" si="6">COUNTIF($C$2:$C$151,U3)</f>
        <v>5</v>
      </c>
      <c r="W3" s="13">
        <f t="shared" ref="W3:W16" si="7">AVERAGEIF($C$2:$C$151,U3,$E$2:$E$151)</f>
        <v>31329.4</v>
      </c>
      <c r="X3" t="s">
        <v>17</v>
      </c>
      <c r="Y3">
        <f t="shared" ref="Y3:Y6" si="8">SUMIF($K$2:$K$151,X3,$T$2:$T$151)</f>
        <v>184410011</v>
      </c>
      <c r="Z3" t="str">
        <f t="shared" ref="Z3:Z66" si="9">IF(F3&lt;G3,"Yes","No")</f>
        <v>No</v>
      </c>
      <c r="AB3" t="s">
        <v>22</v>
      </c>
      <c r="AC3">
        <f t="shared" ref="AC3:AC6" si="10">COUNTIF($D$2:$D$151,AB3)</f>
        <v>39</v>
      </c>
    </row>
    <row r="4" spans="1:29" ht="13.5" customHeight="1" x14ac:dyDescent="0.3">
      <c r="A4" s="2" t="s">
        <v>25</v>
      </c>
      <c r="B4" s="3" t="s">
        <v>26</v>
      </c>
      <c r="C4" s="11" t="s">
        <v>27</v>
      </c>
      <c r="D4" s="3" t="s">
        <v>22</v>
      </c>
      <c r="E4" s="4">
        <v>34181</v>
      </c>
      <c r="F4" s="2">
        <v>323</v>
      </c>
      <c r="G4" s="2">
        <v>38</v>
      </c>
      <c r="H4" s="5">
        <v>45297</v>
      </c>
      <c r="I4" s="5">
        <v>45341</v>
      </c>
      <c r="J4" s="2">
        <v>76</v>
      </c>
      <c r="K4" s="3" t="s">
        <v>28</v>
      </c>
      <c r="L4" s="2">
        <v>8</v>
      </c>
      <c r="M4" s="2" t="s">
        <v>29</v>
      </c>
      <c r="N4" t="str">
        <f t="shared" si="0"/>
        <v>Recorded</v>
      </c>
      <c r="O4" t="str">
        <f t="shared" si="1"/>
        <v>Recorded</v>
      </c>
      <c r="P4" t="str">
        <f t="shared" ca="1" si="2"/>
        <v>Expired</v>
      </c>
      <c r="Q4" s="9">
        <f t="shared" ref="Q4:Q66" ca="1" si="11">I4-TODAY()</f>
        <v>-871</v>
      </c>
      <c r="R4" t="str">
        <f t="shared" ca="1" si="3"/>
        <v>Expired</v>
      </c>
      <c r="S4" s="10">
        <f t="shared" si="4"/>
        <v>4.25</v>
      </c>
      <c r="T4">
        <f t="shared" si="5"/>
        <v>11040463</v>
      </c>
      <c r="U4" t="s">
        <v>27</v>
      </c>
      <c r="V4">
        <f t="shared" si="6"/>
        <v>35</v>
      </c>
      <c r="W4" s="13">
        <f t="shared" si="7"/>
        <v>23169.057142857142</v>
      </c>
      <c r="X4" t="s">
        <v>28</v>
      </c>
      <c r="Y4">
        <f t="shared" si="8"/>
        <v>175491834</v>
      </c>
      <c r="Z4" t="str">
        <f t="shared" si="9"/>
        <v>No</v>
      </c>
      <c r="AB4" t="s">
        <v>43</v>
      </c>
      <c r="AC4">
        <f t="shared" si="10"/>
        <v>32</v>
      </c>
    </row>
    <row r="5" spans="1:29" ht="13.5" customHeight="1" x14ac:dyDescent="0.3">
      <c r="A5" s="2" t="s">
        <v>30</v>
      </c>
      <c r="B5" s="3" t="s">
        <v>31</v>
      </c>
      <c r="C5" s="3" t="s">
        <v>27</v>
      </c>
      <c r="D5" s="3" t="s">
        <v>16</v>
      </c>
      <c r="E5" s="4">
        <v>12498</v>
      </c>
      <c r="F5" s="2">
        <v>13</v>
      </c>
      <c r="G5" s="2">
        <v>35</v>
      </c>
      <c r="H5" s="5">
        <v>45514</v>
      </c>
      <c r="I5" s="5">
        <v>45362</v>
      </c>
      <c r="J5" s="2">
        <v>118</v>
      </c>
      <c r="K5" s="3" t="s">
        <v>17</v>
      </c>
      <c r="L5" s="2">
        <v>2</v>
      </c>
      <c r="M5" s="2" t="s">
        <v>32</v>
      </c>
      <c r="N5" t="str">
        <f t="shared" si="0"/>
        <v>Recorded</v>
      </c>
      <c r="O5" t="str">
        <f t="shared" si="1"/>
        <v>Recorded</v>
      </c>
      <c r="P5" t="str">
        <f t="shared" ca="1" si="2"/>
        <v>Expired</v>
      </c>
      <c r="Q5" s="9">
        <f t="shared" ca="1" si="11"/>
        <v>-850</v>
      </c>
      <c r="R5" t="str">
        <f t="shared" ca="1" si="3"/>
        <v>Expired</v>
      </c>
      <c r="S5" s="10">
        <f t="shared" si="4"/>
        <v>0.11016949152542373</v>
      </c>
      <c r="T5">
        <f t="shared" si="5"/>
        <v>162474</v>
      </c>
      <c r="U5" t="s">
        <v>40</v>
      </c>
      <c r="V5">
        <f t="shared" si="6"/>
        <v>20</v>
      </c>
      <c r="W5" s="13">
        <f t="shared" si="7"/>
        <v>27576</v>
      </c>
      <c r="X5" t="s">
        <v>23</v>
      </c>
      <c r="Y5">
        <f t="shared" si="8"/>
        <v>160750365</v>
      </c>
      <c r="Z5" t="str">
        <f t="shared" si="9"/>
        <v>Yes</v>
      </c>
      <c r="AB5" t="s">
        <v>50</v>
      </c>
      <c r="AC5">
        <f>COUNTIF($D$2:$D$151,AB5)</f>
        <v>25</v>
      </c>
    </row>
    <row r="6" spans="1:29" ht="13.5" customHeight="1" x14ac:dyDescent="0.3">
      <c r="A6" s="2" t="s">
        <v>33</v>
      </c>
      <c r="B6" s="3" t="s">
        <v>34</v>
      </c>
      <c r="C6" s="3" t="s">
        <v>35</v>
      </c>
      <c r="D6" s="3" t="s">
        <v>16</v>
      </c>
      <c r="E6" s="4">
        <v>15725</v>
      </c>
      <c r="F6" s="2">
        <v>370</v>
      </c>
      <c r="G6" s="2">
        <v>51</v>
      </c>
      <c r="H6" s="5">
        <v>45400</v>
      </c>
      <c r="I6" s="5">
        <v>45731</v>
      </c>
      <c r="J6" s="2">
        <v>158</v>
      </c>
      <c r="K6" s="3" t="s">
        <v>36</v>
      </c>
      <c r="L6" s="2">
        <v>151</v>
      </c>
      <c r="M6" s="2" t="s">
        <v>29</v>
      </c>
      <c r="N6" t="str">
        <f t="shared" si="0"/>
        <v>Recorded</v>
      </c>
      <c r="O6" t="str">
        <f t="shared" si="1"/>
        <v>Recorded</v>
      </c>
      <c r="P6" t="str">
        <f t="shared" ca="1" si="2"/>
        <v>Expired</v>
      </c>
      <c r="Q6" s="9">
        <f t="shared" ca="1" si="11"/>
        <v>-481</v>
      </c>
      <c r="R6" t="str">
        <f t="shared" ca="1" si="3"/>
        <v>Expired</v>
      </c>
      <c r="S6" s="10">
        <f t="shared" si="4"/>
        <v>2.3417721518987342</v>
      </c>
      <c r="T6">
        <f t="shared" si="5"/>
        <v>5818250</v>
      </c>
      <c r="U6" t="s">
        <v>15</v>
      </c>
      <c r="V6">
        <f t="shared" si="6"/>
        <v>20</v>
      </c>
      <c r="W6" s="13">
        <f t="shared" si="7"/>
        <v>25894.78947368421</v>
      </c>
      <c r="X6" t="s">
        <v>91</v>
      </c>
      <c r="Y6">
        <f t="shared" si="8"/>
        <v>150745195</v>
      </c>
      <c r="Z6" t="str">
        <f t="shared" si="9"/>
        <v>No</v>
      </c>
      <c r="AB6" t="s">
        <v>53</v>
      </c>
      <c r="AC6">
        <f t="shared" si="10"/>
        <v>31</v>
      </c>
    </row>
    <row r="7" spans="1:29" ht="13.5" customHeight="1" x14ac:dyDescent="0.3">
      <c r="A7" s="2" t="s">
        <v>38</v>
      </c>
      <c r="B7" s="3" t="s">
        <v>39</v>
      </c>
      <c r="C7" s="3" t="s">
        <v>40</v>
      </c>
      <c r="D7" s="3" t="s">
        <v>22</v>
      </c>
      <c r="E7" s="4">
        <v>40511</v>
      </c>
      <c r="F7" s="2">
        <v>81</v>
      </c>
      <c r="G7" s="2">
        <v>48</v>
      </c>
      <c r="H7" s="5">
        <v>45397</v>
      </c>
      <c r="I7" s="5">
        <v>46269</v>
      </c>
      <c r="J7" s="2">
        <v>110</v>
      </c>
      <c r="K7" s="3" t="s">
        <v>17</v>
      </c>
      <c r="L7" s="2">
        <v>7</v>
      </c>
      <c r="M7" s="2" t="s">
        <v>18</v>
      </c>
      <c r="N7" t="str">
        <f t="shared" si="0"/>
        <v>Recorded</v>
      </c>
      <c r="O7" t="str">
        <f t="shared" si="1"/>
        <v>Recorded</v>
      </c>
      <c r="P7" t="str">
        <f t="shared" ca="1" si="2"/>
        <v>Active</v>
      </c>
      <c r="Q7" s="9">
        <f t="shared" ca="1" si="11"/>
        <v>57</v>
      </c>
      <c r="R7" t="str">
        <f t="shared" ca="1" si="3"/>
        <v>Expiring Soon</v>
      </c>
      <c r="S7" s="10">
        <f t="shared" si="4"/>
        <v>0.73636363636363633</v>
      </c>
      <c r="T7">
        <f t="shared" si="5"/>
        <v>3281391</v>
      </c>
      <c r="U7" t="s">
        <v>35</v>
      </c>
      <c r="V7">
        <f t="shared" si="6"/>
        <v>5</v>
      </c>
      <c r="W7" s="13">
        <f t="shared" si="7"/>
        <v>24550.2</v>
      </c>
      <c r="Y7">
        <f>SUM(Y2:Y6)</f>
        <v>809289349</v>
      </c>
      <c r="Z7" t="str">
        <f t="shared" si="9"/>
        <v>No</v>
      </c>
      <c r="AC7">
        <f>SUM(AC2:AC6)</f>
        <v>150</v>
      </c>
    </row>
    <row r="8" spans="1:29" ht="13.5" customHeight="1" x14ac:dyDescent="0.3">
      <c r="A8" s="2" t="s">
        <v>41</v>
      </c>
      <c r="B8" s="3" t="s">
        <v>42</v>
      </c>
      <c r="C8" s="3" t="s">
        <v>27</v>
      </c>
      <c r="D8" s="3" t="s">
        <v>43</v>
      </c>
      <c r="E8" s="4">
        <v>30717</v>
      </c>
      <c r="F8" s="2">
        <v>492</v>
      </c>
      <c r="G8" s="2">
        <v>57</v>
      </c>
      <c r="H8" s="5">
        <v>45540</v>
      </c>
      <c r="I8" s="5">
        <v>46278</v>
      </c>
      <c r="J8" s="2">
        <v>179</v>
      </c>
      <c r="K8" s="3" t="s">
        <v>23</v>
      </c>
      <c r="L8" s="2">
        <v>4</v>
      </c>
      <c r="M8" s="2" t="s">
        <v>18</v>
      </c>
      <c r="N8" t="str">
        <f t="shared" si="0"/>
        <v>Recorded</v>
      </c>
      <c r="O8" t="str">
        <f t="shared" si="1"/>
        <v>Recorded</v>
      </c>
      <c r="P8" t="str">
        <f t="shared" ca="1" si="2"/>
        <v>Active</v>
      </c>
      <c r="Q8" s="9">
        <f t="shared" ca="1" si="11"/>
        <v>66</v>
      </c>
      <c r="R8" t="str">
        <f t="shared" ca="1" si="3"/>
        <v>Expiring Soon</v>
      </c>
      <c r="S8" s="10">
        <f t="shared" si="4"/>
        <v>2.7486033519553073</v>
      </c>
      <c r="T8">
        <f t="shared" si="5"/>
        <v>15112764</v>
      </c>
      <c r="U8" t="s">
        <v>76</v>
      </c>
      <c r="V8">
        <f t="shared" si="6"/>
        <v>5</v>
      </c>
      <c r="W8" s="13">
        <f t="shared" si="7"/>
        <v>28888.2</v>
      </c>
      <c r="Z8" t="str">
        <f t="shared" si="9"/>
        <v>No</v>
      </c>
    </row>
    <row r="9" spans="1:29" ht="13.5" customHeight="1" x14ac:dyDescent="0.3">
      <c r="A9" s="2" t="s">
        <v>44</v>
      </c>
      <c r="B9" s="3" t="s">
        <v>45</v>
      </c>
      <c r="C9" s="3" t="s">
        <v>46</v>
      </c>
      <c r="D9" s="3" t="s">
        <v>43</v>
      </c>
      <c r="E9" s="4">
        <v>29491</v>
      </c>
      <c r="F9" s="2">
        <v>199</v>
      </c>
      <c r="G9" s="2">
        <v>46</v>
      </c>
      <c r="H9" s="5">
        <v>45538</v>
      </c>
      <c r="I9" s="5">
        <v>45750</v>
      </c>
      <c r="J9" s="2">
        <v>30</v>
      </c>
      <c r="K9" s="3" t="s">
        <v>17</v>
      </c>
      <c r="L9" s="2">
        <v>8</v>
      </c>
      <c r="M9" s="2" t="s">
        <v>18</v>
      </c>
      <c r="N9" t="str">
        <f t="shared" si="0"/>
        <v>Recorded</v>
      </c>
      <c r="O9" t="str">
        <f t="shared" si="1"/>
        <v>Recorded</v>
      </c>
      <c r="P9" t="str">
        <f t="shared" ca="1" si="2"/>
        <v>Expired</v>
      </c>
      <c r="Q9" s="9">
        <f t="shared" ca="1" si="11"/>
        <v>-462</v>
      </c>
      <c r="R9" t="str">
        <f t="shared" ca="1" si="3"/>
        <v>Expired</v>
      </c>
      <c r="S9" s="10">
        <f t="shared" si="4"/>
        <v>6.6333333333333337</v>
      </c>
      <c r="T9">
        <f t="shared" si="5"/>
        <v>5868709</v>
      </c>
      <c r="U9" t="s">
        <v>130</v>
      </c>
      <c r="V9">
        <f t="shared" si="6"/>
        <v>5</v>
      </c>
      <c r="W9" s="13">
        <f t="shared" si="7"/>
        <v>20960.25</v>
      </c>
      <c r="Z9" t="str">
        <f t="shared" si="9"/>
        <v>No</v>
      </c>
    </row>
    <row r="10" spans="1:29" ht="13.5" customHeight="1" x14ac:dyDescent="0.3">
      <c r="A10" s="2" t="s">
        <v>47</v>
      </c>
      <c r="B10" s="3" t="s">
        <v>48</v>
      </c>
      <c r="C10" s="3" t="s">
        <v>49</v>
      </c>
      <c r="D10" s="3" t="s">
        <v>50</v>
      </c>
      <c r="E10" s="2"/>
      <c r="F10" s="2">
        <v>269</v>
      </c>
      <c r="G10" s="2">
        <v>71</v>
      </c>
      <c r="H10" s="5">
        <v>45564</v>
      </c>
      <c r="I10" s="5">
        <v>45700</v>
      </c>
      <c r="J10" s="2">
        <v>82</v>
      </c>
      <c r="K10" s="3" t="s">
        <v>23</v>
      </c>
      <c r="L10" s="2">
        <v>6</v>
      </c>
      <c r="M10" s="2" t="s">
        <v>18</v>
      </c>
      <c r="N10" t="str">
        <f t="shared" si="0"/>
        <v>Missing</v>
      </c>
      <c r="O10" t="str">
        <f t="shared" si="1"/>
        <v>Recorded</v>
      </c>
      <c r="P10" t="str">
        <f t="shared" ca="1" si="2"/>
        <v>Expired</v>
      </c>
      <c r="Q10" s="9">
        <f t="shared" ca="1" si="11"/>
        <v>-512</v>
      </c>
      <c r="R10" t="str">
        <f t="shared" ca="1" si="3"/>
        <v>Expired</v>
      </c>
      <c r="S10" s="10">
        <f t="shared" si="4"/>
        <v>3.2804878048780486</v>
      </c>
      <c r="T10">
        <f t="shared" si="5"/>
        <v>0</v>
      </c>
      <c r="U10" t="s">
        <v>46</v>
      </c>
      <c r="V10">
        <f t="shared" si="6"/>
        <v>5</v>
      </c>
      <c r="W10" s="13">
        <f t="shared" si="7"/>
        <v>28818.799999999999</v>
      </c>
      <c r="Z10" t="str">
        <f t="shared" si="9"/>
        <v>No</v>
      </c>
    </row>
    <row r="11" spans="1:29" ht="13.5" customHeight="1" x14ac:dyDescent="0.3">
      <c r="A11" s="2" t="s">
        <v>52</v>
      </c>
      <c r="B11" s="3" t="s">
        <v>39</v>
      </c>
      <c r="C11" s="3" t="s">
        <v>40</v>
      </c>
      <c r="D11" s="3" t="s">
        <v>53</v>
      </c>
      <c r="E11" s="4">
        <v>35215</v>
      </c>
      <c r="F11" s="2">
        <v>151</v>
      </c>
      <c r="G11" s="2">
        <v>28</v>
      </c>
      <c r="H11" s="5">
        <v>45317</v>
      </c>
      <c r="I11" s="5">
        <v>46246</v>
      </c>
      <c r="J11" s="2">
        <v>199</v>
      </c>
      <c r="K11" s="3" t="s">
        <v>36</v>
      </c>
      <c r="L11" s="2">
        <v>32</v>
      </c>
      <c r="M11" s="2" t="s">
        <v>18</v>
      </c>
      <c r="N11" t="str">
        <f t="shared" si="0"/>
        <v>Recorded</v>
      </c>
      <c r="O11" t="str">
        <f t="shared" si="1"/>
        <v>Recorded</v>
      </c>
      <c r="P11" t="str">
        <f t="shared" ca="1" si="2"/>
        <v>Active</v>
      </c>
      <c r="Q11" s="9">
        <f t="shared" ca="1" si="11"/>
        <v>34</v>
      </c>
      <c r="R11" t="str">
        <f t="shared" ca="1" si="3"/>
        <v>Expiring Soon</v>
      </c>
      <c r="S11" s="10">
        <f t="shared" si="4"/>
        <v>0.75879396984924619</v>
      </c>
      <c r="T11">
        <f t="shared" si="5"/>
        <v>5317465</v>
      </c>
      <c r="U11" t="s">
        <v>49</v>
      </c>
      <c r="V11">
        <f t="shared" si="6"/>
        <v>10</v>
      </c>
      <c r="W11" s="13">
        <f t="shared" si="7"/>
        <v>21108.888888888891</v>
      </c>
      <c r="Z11" t="str">
        <f t="shared" si="9"/>
        <v>No</v>
      </c>
    </row>
    <row r="12" spans="1:29" ht="13.5" customHeight="1" x14ac:dyDescent="0.3">
      <c r="A12" s="2" t="s">
        <v>54</v>
      </c>
      <c r="B12" s="3" t="s">
        <v>42</v>
      </c>
      <c r="C12" s="3" t="s">
        <v>27</v>
      </c>
      <c r="D12" s="3" t="s">
        <v>22</v>
      </c>
      <c r="E12" s="4">
        <v>39668</v>
      </c>
      <c r="F12" s="2">
        <v>37</v>
      </c>
      <c r="G12" s="2">
        <v>49</v>
      </c>
      <c r="H12" s="5">
        <v>45310</v>
      </c>
      <c r="I12" s="5">
        <v>46343</v>
      </c>
      <c r="J12" s="2">
        <v>123</v>
      </c>
      <c r="K12" s="3" t="s">
        <v>28</v>
      </c>
      <c r="L12" s="2">
        <v>10</v>
      </c>
      <c r="M12" s="2" t="s">
        <v>32</v>
      </c>
      <c r="N12" t="str">
        <f t="shared" si="0"/>
        <v>Recorded</v>
      </c>
      <c r="O12" t="str">
        <f t="shared" si="1"/>
        <v>Recorded</v>
      </c>
      <c r="P12" t="str">
        <f t="shared" ca="1" si="2"/>
        <v>Active</v>
      </c>
      <c r="Q12" s="9">
        <f t="shared" ca="1" si="11"/>
        <v>131</v>
      </c>
      <c r="R12" t="str">
        <f t="shared" ca="1" si="3"/>
        <v>OK</v>
      </c>
      <c r="S12" s="10">
        <f t="shared" si="4"/>
        <v>0.30081300813008133</v>
      </c>
      <c r="T12">
        <f t="shared" si="5"/>
        <v>1467716</v>
      </c>
      <c r="U12" t="s">
        <v>66</v>
      </c>
      <c r="V12">
        <f t="shared" si="6"/>
        <v>5</v>
      </c>
      <c r="W12" s="13">
        <f t="shared" si="7"/>
        <v>19879.599999999999</v>
      </c>
      <c r="Z12" t="str">
        <f t="shared" si="9"/>
        <v>Yes</v>
      </c>
    </row>
    <row r="13" spans="1:29" ht="13.5" customHeight="1" x14ac:dyDescent="0.3">
      <c r="A13" s="2" t="s">
        <v>55</v>
      </c>
      <c r="B13" s="3" t="s">
        <v>56</v>
      </c>
      <c r="C13" s="3" t="s">
        <v>27</v>
      </c>
      <c r="D13" s="3" t="s">
        <v>50</v>
      </c>
      <c r="E13" s="4">
        <v>7566</v>
      </c>
      <c r="F13" s="2">
        <v>169</v>
      </c>
      <c r="G13" s="2">
        <v>24</v>
      </c>
      <c r="H13" s="5">
        <v>45425</v>
      </c>
      <c r="I13" s="5">
        <v>45435</v>
      </c>
      <c r="J13" s="2">
        <v>132</v>
      </c>
      <c r="K13" s="3" t="s">
        <v>23</v>
      </c>
      <c r="L13" s="2">
        <v>31</v>
      </c>
      <c r="M13" s="2" t="s">
        <v>29</v>
      </c>
      <c r="N13" t="str">
        <f t="shared" si="0"/>
        <v>Recorded</v>
      </c>
      <c r="O13" t="str">
        <f t="shared" si="1"/>
        <v>Recorded</v>
      </c>
      <c r="P13" t="str">
        <f t="shared" ca="1" si="2"/>
        <v>Expired</v>
      </c>
      <c r="Q13" s="9">
        <f t="shared" ca="1" si="11"/>
        <v>-777</v>
      </c>
      <c r="R13" t="str">
        <f t="shared" ca="1" si="3"/>
        <v>Expired</v>
      </c>
      <c r="S13" s="10">
        <f t="shared" si="4"/>
        <v>1.2803030303030303</v>
      </c>
      <c r="T13">
        <f t="shared" si="5"/>
        <v>1278654</v>
      </c>
      <c r="U13" t="s">
        <v>21</v>
      </c>
      <c r="V13">
        <f t="shared" si="6"/>
        <v>5</v>
      </c>
      <c r="W13" s="13">
        <f t="shared" si="7"/>
        <v>28592</v>
      </c>
      <c r="Z13" t="str">
        <f t="shared" si="9"/>
        <v>No</v>
      </c>
    </row>
    <row r="14" spans="1:29" ht="13.5" customHeight="1" x14ac:dyDescent="0.3">
      <c r="A14" s="2" t="s">
        <v>57</v>
      </c>
      <c r="B14" s="3" t="s">
        <v>39</v>
      </c>
      <c r="C14" s="3" t="s">
        <v>40</v>
      </c>
      <c r="D14" s="3" t="s">
        <v>22</v>
      </c>
      <c r="E14" s="2"/>
      <c r="F14" s="2">
        <v>212</v>
      </c>
      <c r="G14" s="2">
        <v>26</v>
      </c>
      <c r="H14" s="5">
        <v>45302</v>
      </c>
      <c r="I14" s="5">
        <v>45869</v>
      </c>
      <c r="J14" s="2">
        <v>71</v>
      </c>
      <c r="K14" s="3" t="s">
        <v>28</v>
      </c>
      <c r="L14" s="2">
        <v>8</v>
      </c>
      <c r="M14" s="2" t="s">
        <v>18</v>
      </c>
      <c r="N14" t="str">
        <f t="shared" si="0"/>
        <v>Missing</v>
      </c>
      <c r="O14" t="str">
        <f t="shared" si="1"/>
        <v>Recorded</v>
      </c>
      <c r="P14" t="str">
        <f t="shared" ca="1" si="2"/>
        <v>Expired</v>
      </c>
      <c r="Q14" s="9">
        <f t="shared" ca="1" si="11"/>
        <v>-343</v>
      </c>
      <c r="R14" t="str">
        <f t="shared" ca="1" si="3"/>
        <v>Expired</v>
      </c>
      <c r="S14" s="10">
        <f t="shared" si="4"/>
        <v>2.9859154929577465</v>
      </c>
      <c r="T14">
        <f t="shared" si="5"/>
        <v>0</v>
      </c>
      <c r="U14" t="s">
        <v>114</v>
      </c>
      <c r="V14">
        <f t="shared" si="6"/>
        <v>5</v>
      </c>
      <c r="W14" s="13">
        <f t="shared" si="7"/>
        <v>15680.6</v>
      </c>
      <c r="Z14" t="str">
        <f t="shared" si="9"/>
        <v>No</v>
      </c>
    </row>
    <row r="15" spans="1:29" ht="13.5" customHeight="1" x14ac:dyDescent="0.3">
      <c r="A15" s="2" t="s">
        <v>58</v>
      </c>
      <c r="B15" s="3" t="s">
        <v>59</v>
      </c>
      <c r="C15" s="3" t="s">
        <v>40</v>
      </c>
      <c r="D15" s="3" t="s">
        <v>16</v>
      </c>
      <c r="E15" s="4">
        <v>31607</v>
      </c>
      <c r="F15" s="2">
        <v>105</v>
      </c>
      <c r="G15" s="2">
        <v>21</v>
      </c>
      <c r="H15" s="5">
        <v>45341</v>
      </c>
      <c r="I15" s="5">
        <v>45860</v>
      </c>
      <c r="J15" s="2">
        <v>24</v>
      </c>
      <c r="K15" s="3" t="s">
        <v>28</v>
      </c>
      <c r="L15" s="2">
        <v>7</v>
      </c>
      <c r="M15" s="2" t="s">
        <v>18</v>
      </c>
      <c r="N15" t="str">
        <f t="shared" si="0"/>
        <v>Recorded</v>
      </c>
      <c r="O15" t="str">
        <f t="shared" si="1"/>
        <v>Recorded</v>
      </c>
      <c r="P15" t="str">
        <f t="shared" ca="1" si="2"/>
        <v>Expired</v>
      </c>
      <c r="Q15" s="9">
        <f t="shared" ca="1" si="11"/>
        <v>-352</v>
      </c>
      <c r="R15" t="str">
        <f t="shared" ca="1" si="3"/>
        <v>Expired</v>
      </c>
      <c r="S15" s="10">
        <f t="shared" si="4"/>
        <v>4.375</v>
      </c>
      <c r="T15">
        <f t="shared" si="5"/>
        <v>3318735</v>
      </c>
      <c r="U15" t="s">
        <v>62</v>
      </c>
      <c r="V15">
        <f t="shared" si="6"/>
        <v>10</v>
      </c>
      <c r="W15" s="13">
        <f t="shared" si="7"/>
        <v>24131.5</v>
      </c>
      <c r="Z15" t="str">
        <f t="shared" si="9"/>
        <v>No</v>
      </c>
    </row>
    <row r="16" spans="1:29" ht="13.5" customHeight="1" x14ac:dyDescent="0.3">
      <c r="A16" s="2" t="s">
        <v>60</v>
      </c>
      <c r="B16" s="3" t="s">
        <v>61</v>
      </c>
      <c r="C16" s="3" t="s">
        <v>62</v>
      </c>
      <c r="D16" s="3" t="s">
        <v>16</v>
      </c>
      <c r="E16" s="4">
        <v>15002</v>
      </c>
      <c r="F16" s="2">
        <v>497</v>
      </c>
      <c r="G16" s="2">
        <v>76</v>
      </c>
      <c r="H16" s="5">
        <v>45301</v>
      </c>
      <c r="I16" s="5">
        <v>45890</v>
      </c>
      <c r="J16" s="2">
        <v>42</v>
      </c>
      <c r="K16" s="3" t="s">
        <v>23</v>
      </c>
      <c r="L16" s="2">
        <v>13</v>
      </c>
      <c r="M16" s="2" t="s">
        <v>18</v>
      </c>
      <c r="N16" t="str">
        <f t="shared" si="0"/>
        <v>Recorded</v>
      </c>
      <c r="O16" t="str">
        <f t="shared" si="1"/>
        <v>Recorded</v>
      </c>
      <c r="P16" t="str">
        <f t="shared" ca="1" si="2"/>
        <v>Expired</v>
      </c>
      <c r="Q16" s="9">
        <f ca="1">I16-TODAY()</f>
        <v>-322</v>
      </c>
      <c r="R16" t="str">
        <f t="shared" ca="1" si="3"/>
        <v>Expired</v>
      </c>
      <c r="S16" s="10">
        <f t="shared" si="4"/>
        <v>11.833333333333334</v>
      </c>
      <c r="T16">
        <f t="shared" si="5"/>
        <v>7455994</v>
      </c>
      <c r="U16" t="s">
        <v>82</v>
      </c>
      <c r="V16">
        <f t="shared" si="6"/>
        <v>5</v>
      </c>
      <c r="W16" s="13">
        <f t="shared" si="7"/>
        <v>25902</v>
      </c>
      <c r="Z16" t="str">
        <f t="shared" si="9"/>
        <v>No</v>
      </c>
    </row>
    <row r="17" spans="1:26" ht="13.5" customHeight="1" x14ac:dyDescent="0.3">
      <c r="A17" s="2" t="s">
        <v>63</v>
      </c>
      <c r="B17" s="3" t="s">
        <v>48</v>
      </c>
      <c r="C17" s="3" t="s">
        <v>49</v>
      </c>
      <c r="D17" s="3" t="s">
        <v>53</v>
      </c>
      <c r="E17" s="4">
        <v>4167</v>
      </c>
      <c r="F17" s="2">
        <v>148</v>
      </c>
      <c r="G17" s="2">
        <v>53</v>
      </c>
      <c r="H17" s="5">
        <v>45514</v>
      </c>
      <c r="I17" s="5">
        <v>45839</v>
      </c>
      <c r="J17" s="2">
        <v>23</v>
      </c>
      <c r="K17" s="3" t="s">
        <v>36</v>
      </c>
      <c r="L17" s="2">
        <v>3</v>
      </c>
      <c r="M17" s="2" t="s">
        <v>18</v>
      </c>
      <c r="N17" t="str">
        <f t="shared" si="0"/>
        <v>Recorded</v>
      </c>
      <c r="O17" t="str">
        <f t="shared" si="1"/>
        <v>Recorded</v>
      </c>
      <c r="P17" t="str">
        <f t="shared" ca="1" si="2"/>
        <v>Expired</v>
      </c>
      <c r="Q17" s="9">
        <f t="shared" ca="1" si="11"/>
        <v>-373</v>
      </c>
      <c r="R17" t="str">
        <f t="shared" ca="1" si="3"/>
        <v>Expired</v>
      </c>
      <c r="S17" s="10">
        <f t="shared" si="4"/>
        <v>6.4347826086956523</v>
      </c>
      <c r="T17">
        <f t="shared" si="5"/>
        <v>616716</v>
      </c>
      <c r="V17">
        <f>SUM(V2:V16)</f>
        <v>150</v>
      </c>
      <c r="Z17" t="str">
        <f t="shared" si="9"/>
        <v>No</v>
      </c>
    </row>
    <row r="18" spans="1:26" ht="13.5" customHeight="1" x14ac:dyDescent="0.3">
      <c r="A18" s="2" t="s">
        <v>64</v>
      </c>
      <c r="B18" s="3" t="s">
        <v>65</v>
      </c>
      <c r="C18" s="3" t="s">
        <v>66</v>
      </c>
      <c r="D18" s="3" t="s">
        <v>22</v>
      </c>
      <c r="E18" s="4">
        <v>17917</v>
      </c>
      <c r="F18" s="2">
        <v>51</v>
      </c>
      <c r="G18" s="2">
        <v>28</v>
      </c>
      <c r="H18" s="5">
        <v>45310</v>
      </c>
      <c r="I18" s="5">
        <v>46140</v>
      </c>
      <c r="J18" s="2">
        <v>17</v>
      </c>
      <c r="K18" s="3" t="s">
        <v>17</v>
      </c>
      <c r="L18" s="2">
        <v>2</v>
      </c>
      <c r="M18" s="2" t="s">
        <v>18</v>
      </c>
      <c r="N18" t="str">
        <f t="shared" si="0"/>
        <v>Recorded</v>
      </c>
      <c r="O18" t="str">
        <f t="shared" si="1"/>
        <v>Recorded</v>
      </c>
      <c r="P18" t="str">
        <f t="shared" ca="1" si="2"/>
        <v>Expired</v>
      </c>
      <c r="Q18" s="9">
        <f t="shared" ca="1" si="11"/>
        <v>-72</v>
      </c>
      <c r="R18" t="str">
        <f t="shared" ca="1" si="3"/>
        <v>Expired</v>
      </c>
      <c r="S18" s="10">
        <f t="shared" si="4"/>
        <v>3</v>
      </c>
      <c r="T18">
        <f t="shared" si="5"/>
        <v>913767</v>
      </c>
      <c r="Z18" t="str">
        <f t="shared" si="9"/>
        <v>No</v>
      </c>
    </row>
    <row r="19" spans="1:26" ht="13.5" customHeight="1" x14ac:dyDescent="0.3">
      <c r="A19" s="2" t="s">
        <v>67</v>
      </c>
      <c r="B19" s="3" t="s">
        <v>68</v>
      </c>
      <c r="C19" s="3" t="s">
        <v>40</v>
      </c>
      <c r="D19" s="3" t="s">
        <v>43</v>
      </c>
      <c r="E19" s="4">
        <v>37697</v>
      </c>
      <c r="F19" s="2">
        <v>463</v>
      </c>
      <c r="G19" s="2">
        <v>22</v>
      </c>
      <c r="H19" s="5">
        <v>45538</v>
      </c>
      <c r="I19" s="5">
        <v>45871</v>
      </c>
      <c r="J19" s="2">
        <v>42</v>
      </c>
      <c r="K19" s="3" t="s">
        <v>36</v>
      </c>
      <c r="L19" s="2">
        <v>6</v>
      </c>
      <c r="M19" s="2" t="s">
        <v>18</v>
      </c>
      <c r="N19" t="str">
        <f t="shared" si="0"/>
        <v>Recorded</v>
      </c>
      <c r="O19" t="str">
        <f t="shared" si="1"/>
        <v>Recorded</v>
      </c>
      <c r="P19" t="str">
        <f t="shared" ca="1" si="2"/>
        <v>Expired</v>
      </c>
      <c r="Q19" s="9">
        <f t="shared" ca="1" si="11"/>
        <v>-341</v>
      </c>
      <c r="R19" t="str">
        <f t="shared" ca="1" si="3"/>
        <v>Expired</v>
      </c>
      <c r="S19" s="10">
        <f t="shared" si="4"/>
        <v>11.023809523809524</v>
      </c>
      <c r="T19">
        <f t="shared" si="5"/>
        <v>17453711</v>
      </c>
      <c r="Z19" t="str">
        <f t="shared" si="9"/>
        <v>No</v>
      </c>
    </row>
    <row r="20" spans="1:26" ht="13.5" customHeight="1" x14ac:dyDescent="0.3">
      <c r="A20" s="2" t="s">
        <v>69</v>
      </c>
      <c r="B20" s="3" t="s">
        <v>70</v>
      </c>
      <c r="C20" s="3" t="s">
        <v>15</v>
      </c>
      <c r="D20" s="3" t="s">
        <v>43</v>
      </c>
      <c r="E20" s="4">
        <v>31598</v>
      </c>
      <c r="F20" s="2">
        <v>208</v>
      </c>
      <c r="G20" s="2">
        <v>52</v>
      </c>
      <c r="H20" s="5">
        <v>45582</v>
      </c>
      <c r="I20" s="5">
        <v>46027</v>
      </c>
      <c r="J20" s="2">
        <v>81</v>
      </c>
      <c r="K20" s="3" t="s">
        <v>28</v>
      </c>
      <c r="L20" s="2">
        <v>39</v>
      </c>
      <c r="M20" s="2" t="s">
        <v>251</v>
      </c>
      <c r="N20" t="str">
        <f t="shared" si="0"/>
        <v>Recorded</v>
      </c>
      <c r="O20" t="str">
        <f t="shared" si="1"/>
        <v>Recorded</v>
      </c>
      <c r="P20" t="str">
        <f t="shared" ca="1" si="2"/>
        <v>Expired</v>
      </c>
      <c r="Q20" s="9">
        <f t="shared" ca="1" si="11"/>
        <v>-185</v>
      </c>
      <c r="R20" t="str">
        <f t="shared" ca="1" si="3"/>
        <v>Expired</v>
      </c>
      <c r="S20" s="10">
        <f t="shared" si="4"/>
        <v>2.5679012345679011</v>
      </c>
      <c r="T20">
        <f t="shared" si="5"/>
        <v>6572384</v>
      </c>
      <c r="Z20" t="str">
        <f t="shared" si="9"/>
        <v>No</v>
      </c>
    </row>
    <row r="21" spans="1:26" ht="13.5" customHeight="1" x14ac:dyDescent="0.3">
      <c r="A21" s="2" t="s">
        <v>72</v>
      </c>
      <c r="B21" s="3" t="s">
        <v>73</v>
      </c>
      <c r="C21" s="3" t="s">
        <v>40</v>
      </c>
      <c r="D21" s="3" t="s">
        <v>53</v>
      </c>
      <c r="E21" s="4">
        <v>29711</v>
      </c>
      <c r="F21" s="2">
        <v>381</v>
      </c>
      <c r="G21" s="2">
        <v>47</v>
      </c>
      <c r="H21" s="5">
        <v>45363</v>
      </c>
      <c r="I21" s="5">
        <v>45950</v>
      </c>
      <c r="J21" s="2">
        <v>101</v>
      </c>
      <c r="K21" s="3" t="s">
        <v>36</v>
      </c>
      <c r="L21" s="2">
        <v>29</v>
      </c>
      <c r="M21" s="2" t="s">
        <v>18</v>
      </c>
      <c r="N21" t="str">
        <f t="shared" si="0"/>
        <v>Recorded</v>
      </c>
      <c r="O21" t="str">
        <f t="shared" si="1"/>
        <v>Recorded</v>
      </c>
      <c r="P21" t="str">
        <f t="shared" ca="1" si="2"/>
        <v>Expired</v>
      </c>
      <c r="Q21" s="9">
        <f t="shared" ca="1" si="11"/>
        <v>-262</v>
      </c>
      <c r="R21" t="str">
        <f t="shared" ca="1" si="3"/>
        <v>Expired</v>
      </c>
      <c r="S21" s="10">
        <f t="shared" si="4"/>
        <v>3.7722772277227721</v>
      </c>
      <c r="T21">
        <f t="shared" si="5"/>
        <v>11319891</v>
      </c>
      <c r="Z21" t="str">
        <f t="shared" si="9"/>
        <v>No</v>
      </c>
    </row>
    <row r="22" spans="1:26" ht="13.5" customHeight="1" x14ac:dyDescent="0.3">
      <c r="A22" s="2" t="s">
        <v>74</v>
      </c>
      <c r="B22" s="3" t="s">
        <v>75</v>
      </c>
      <c r="C22" s="3" t="s">
        <v>76</v>
      </c>
      <c r="D22" s="3" t="s">
        <v>53</v>
      </c>
      <c r="E22" s="4">
        <v>12790</v>
      </c>
      <c r="F22" s="2">
        <v>84</v>
      </c>
      <c r="G22" s="2">
        <v>70</v>
      </c>
      <c r="H22" s="5">
        <v>45576</v>
      </c>
      <c r="I22" s="5">
        <v>45918</v>
      </c>
      <c r="J22" s="2">
        <v>52</v>
      </c>
      <c r="K22" s="3" t="s">
        <v>36</v>
      </c>
      <c r="L22" s="2">
        <v>4</v>
      </c>
      <c r="M22" s="2" t="s">
        <v>18</v>
      </c>
      <c r="N22" t="str">
        <f t="shared" si="0"/>
        <v>Recorded</v>
      </c>
      <c r="O22" t="str">
        <f t="shared" si="1"/>
        <v>Recorded</v>
      </c>
      <c r="P22" t="str">
        <f t="shared" ca="1" si="2"/>
        <v>Expired</v>
      </c>
      <c r="Q22" s="9">
        <f t="shared" ca="1" si="11"/>
        <v>-294</v>
      </c>
      <c r="R22" t="str">
        <f t="shared" ca="1" si="3"/>
        <v>Expired</v>
      </c>
      <c r="S22" s="10">
        <f t="shared" si="4"/>
        <v>1.6153846153846154</v>
      </c>
      <c r="T22">
        <f t="shared" si="5"/>
        <v>1074360</v>
      </c>
      <c r="Z22" t="str">
        <f t="shared" si="9"/>
        <v>No</v>
      </c>
    </row>
    <row r="23" spans="1:26" ht="13.5" customHeight="1" x14ac:dyDescent="0.3">
      <c r="A23" s="2" t="s">
        <v>77</v>
      </c>
      <c r="B23" s="3" t="s">
        <v>14</v>
      </c>
      <c r="C23" s="3" t="s">
        <v>15</v>
      </c>
      <c r="D23" s="3" t="s">
        <v>50</v>
      </c>
      <c r="E23" s="4">
        <v>7191</v>
      </c>
      <c r="F23" s="2">
        <v>334</v>
      </c>
      <c r="G23" s="2">
        <v>33</v>
      </c>
      <c r="H23" s="5">
        <v>45495</v>
      </c>
      <c r="I23" s="5">
        <v>46203</v>
      </c>
      <c r="J23" s="2">
        <v>36</v>
      </c>
      <c r="K23" s="3" t="s">
        <v>28</v>
      </c>
      <c r="L23" s="2">
        <v>13</v>
      </c>
      <c r="M23" s="2" t="s">
        <v>251</v>
      </c>
      <c r="N23" t="str">
        <f t="shared" si="0"/>
        <v>Recorded</v>
      </c>
      <c r="O23" t="str">
        <f t="shared" si="1"/>
        <v>Recorded</v>
      </c>
      <c r="P23" t="str">
        <f t="shared" ca="1" si="2"/>
        <v>Expired</v>
      </c>
      <c r="Q23" s="9">
        <f t="shared" ca="1" si="11"/>
        <v>-9</v>
      </c>
      <c r="R23" t="str">
        <f t="shared" ca="1" si="3"/>
        <v>Expired</v>
      </c>
      <c r="S23" s="10">
        <f t="shared" si="4"/>
        <v>9.2777777777777786</v>
      </c>
      <c r="T23">
        <f t="shared" si="5"/>
        <v>2401794</v>
      </c>
      <c r="Z23" t="str">
        <f t="shared" si="9"/>
        <v>No</v>
      </c>
    </row>
    <row r="24" spans="1:26" ht="13.5" customHeight="1" x14ac:dyDescent="0.3">
      <c r="A24" s="2" t="s">
        <v>78</v>
      </c>
      <c r="B24" s="3" t="s">
        <v>79</v>
      </c>
      <c r="C24" s="3" t="s">
        <v>15</v>
      </c>
      <c r="D24" s="3" t="s">
        <v>43</v>
      </c>
      <c r="E24" s="2"/>
      <c r="F24" s="2">
        <v>391</v>
      </c>
      <c r="G24" s="2">
        <v>62</v>
      </c>
      <c r="H24" s="5">
        <v>45382</v>
      </c>
      <c r="I24" s="5">
        <v>46185</v>
      </c>
      <c r="J24" s="2">
        <v>156</v>
      </c>
      <c r="K24" s="3" t="s">
        <v>17</v>
      </c>
      <c r="L24" s="2">
        <v>119</v>
      </c>
      <c r="M24" s="2" t="s">
        <v>18</v>
      </c>
      <c r="N24" t="str">
        <f t="shared" si="0"/>
        <v>Missing</v>
      </c>
      <c r="O24" t="str">
        <f t="shared" si="1"/>
        <v>Recorded</v>
      </c>
      <c r="P24" t="str">
        <f t="shared" ca="1" si="2"/>
        <v>Expired</v>
      </c>
      <c r="Q24" s="9">
        <f t="shared" ca="1" si="11"/>
        <v>-27</v>
      </c>
      <c r="R24" t="str">
        <f t="shared" ca="1" si="3"/>
        <v>Expired</v>
      </c>
      <c r="S24" s="10">
        <f t="shared" si="4"/>
        <v>2.5064102564102564</v>
      </c>
      <c r="T24">
        <f t="shared" si="5"/>
        <v>0</v>
      </c>
      <c r="Z24" t="str">
        <f t="shared" si="9"/>
        <v>No</v>
      </c>
    </row>
    <row r="25" spans="1:26" ht="13.5" customHeight="1" x14ac:dyDescent="0.3">
      <c r="A25" s="2" t="s">
        <v>80</v>
      </c>
      <c r="B25" s="3" t="s">
        <v>81</v>
      </c>
      <c r="C25" s="3" t="s">
        <v>82</v>
      </c>
      <c r="D25" s="3" t="s">
        <v>22</v>
      </c>
      <c r="E25" s="4">
        <v>15442</v>
      </c>
      <c r="F25" s="2">
        <v>244</v>
      </c>
      <c r="G25" s="2">
        <v>41</v>
      </c>
      <c r="H25" s="5">
        <v>45478</v>
      </c>
      <c r="I25" s="5">
        <v>46189</v>
      </c>
      <c r="J25" s="2">
        <v>32</v>
      </c>
      <c r="K25" s="3" t="s">
        <v>17</v>
      </c>
      <c r="L25" s="2">
        <v>6</v>
      </c>
      <c r="M25" s="2" t="s">
        <v>18</v>
      </c>
      <c r="N25" t="str">
        <f t="shared" si="0"/>
        <v>Recorded</v>
      </c>
      <c r="O25" t="str">
        <f t="shared" si="1"/>
        <v>Recorded</v>
      </c>
      <c r="P25" t="str">
        <f t="shared" ca="1" si="2"/>
        <v>Expired</v>
      </c>
      <c r="Q25" s="9">
        <f t="shared" ca="1" si="11"/>
        <v>-23</v>
      </c>
      <c r="R25" t="str">
        <f t="shared" ca="1" si="3"/>
        <v>Expired</v>
      </c>
      <c r="S25" s="10">
        <f t="shared" si="4"/>
        <v>7.625</v>
      </c>
      <c r="T25">
        <f t="shared" si="5"/>
        <v>3767848</v>
      </c>
      <c r="Z25" t="str">
        <f t="shared" si="9"/>
        <v>No</v>
      </c>
    </row>
    <row r="26" spans="1:26" ht="13.5" customHeight="1" x14ac:dyDescent="0.3">
      <c r="A26" s="2" t="s">
        <v>83</v>
      </c>
      <c r="B26" s="3" t="s">
        <v>84</v>
      </c>
      <c r="C26" s="3" t="s">
        <v>27</v>
      </c>
      <c r="D26" s="3" t="s">
        <v>22</v>
      </c>
      <c r="E26" s="4">
        <v>5094</v>
      </c>
      <c r="F26" s="2">
        <v>187</v>
      </c>
      <c r="G26" s="2">
        <v>56</v>
      </c>
      <c r="H26" s="5">
        <v>45503</v>
      </c>
      <c r="I26" s="5">
        <v>45955</v>
      </c>
      <c r="J26" s="2">
        <v>85</v>
      </c>
      <c r="K26" s="3" t="s">
        <v>28</v>
      </c>
      <c r="L26" s="2">
        <v>48</v>
      </c>
      <c r="M26" s="2" t="s">
        <v>18</v>
      </c>
      <c r="N26" t="str">
        <f t="shared" si="0"/>
        <v>Recorded</v>
      </c>
      <c r="O26" t="str">
        <f t="shared" si="1"/>
        <v>Recorded</v>
      </c>
      <c r="P26" t="str">
        <f t="shared" ca="1" si="2"/>
        <v>Expired</v>
      </c>
      <c r="Q26" s="9">
        <f t="shared" ca="1" si="11"/>
        <v>-257</v>
      </c>
      <c r="R26" t="str">
        <f t="shared" ca="1" si="3"/>
        <v>Expired</v>
      </c>
      <c r="S26" s="10">
        <f t="shared" si="4"/>
        <v>2.2000000000000002</v>
      </c>
      <c r="T26">
        <f t="shared" si="5"/>
        <v>952578</v>
      </c>
      <c r="Z26" t="str">
        <f t="shared" si="9"/>
        <v>No</v>
      </c>
    </row>
    <row r="27" spans="1:26" ht="13.5" customHeight="1" x14ac:dyDescent="0.3">
      <c r="A27" s="2" t="s">
        <v>85</v>
      </c>
      <c r="B27" s="3" t="s">
        <v>86</v>
      </c>
      <c r="C27" s="3" t="s">
        <v>27</v>
      </c>
      <c r="D27" s="3" t="s">
        <v>50</v>
      </c>
      <c r="E27" s="4">
        <v>11416</v>
      </c>
      <c r="F27" s="2">
        <v>104</v>
      </c>
      <c r="G27" s="2">
        <v>49</v>
      </c>
      <c r="H27" s="5">
        <v>45387</v>
      </c>
      <c r="I27" s="5">
        <v>46027</v>
      </c>
      <c r="J27" s="2">
        <v>37</v>
      </c>
      <c r="K27" s="3" t="s">
        <v>28</v>
      </c>
      <c r="L27" s="2">
        <v>34</v>
      </c>
      <c r="M27" s="2" t="s">
        <v>18</v>
      </c>
      <c r="N27" t="str">
        <f t="shared" si="0"/>
        <v>Recorded</v>
      </c>
      <c r="O27" t="str">
        <f t="shared" si="1"/>
        <v>Recorded</v>
      </c>
      <c r="P27" t="str">
        <f t="shared" ca="1" si="2"/>
        <v>Expired</v>
      </c>
      <c r="Q27" s="9">
        <f t="shared" ca="1" si="11"/>
        <v>-185</v>
      </c>
      <c r="R27" t="str">
        <f t="shared" ca="1" si="3"/>
        <v>Expired</v>
      </c>
      <c r="S27" s="10">
        <f t="shared" si="4"/>
        <v>2.810810810810811</v>
      </c>
      <c r="T27">
        <f t="shared" si="5"/>
        <v>1187264</v>
      </c>
      <c r="Z27" t="str">
        <f t="shared" si="9"/>
        <v>No</v>
      </c>
    </row>
    <row r="28" spans="1:26" ht="13.5" customHeight="1" x14ac:dyDescent="0.3">
      <c r="A28" s="2" t="s">
        <v>87</v>
      </c>
      <c r="B28" s="3" t="s">
        <v>81</v>
      </c>
      <c r="C28" s="3" t="s">
        <v>82</v>
      </c>
      <c r="D28" s="3" t="s">
        <v>22</v>
      </c>
      <c r="E28" s="4">
        <v>37253</v>
      </c>
      <c r="F28" s="2">
        <v>61</v>
      </c>
      <c r="G28" s="2">
        <v>58</v>
      </c>
      <c r="H28" s="5">
        <v>45542</v>
      </c>
      <c r="I28" s="5">
        <v>45317</v>
      </c>
      <c r="J28" s="2">
        <v>144</v>
      </c>
      <c r="K28" s="3" t="s">
        <v>23</v>
      </c>
      <c r="L28" s="2">
        <v>70</v>
      </c>
      <c r="M28" s="2" t="s">
        <v>29</v>
      </c>
      <c r="N28" t="str">
        <f t="shared" si="0"/>
        <v>Recorded</v>
      </c>
      <c r="O28" t="str">
        <f t="shared" si="1"/>
        <v>Recorded</v>
      </c>
      <c r="P28" t="str">
        <f t="shared" ca="1" si="2"/>
        <v>Expired</v>
      </c>
      <c r="Q28" s="9">
        <f t="shared" ca="1" si="11"/>
        <v>-895</v>
      </c>
      <c r="R28" t="str">
        <f t="shared" ca="1" si="3"/>
        <v>Expired</v>
      </c>
      <c r="S28" s="10">
        <f t="shared" si="4"/>
        <v>0.4236111111111111</v>
      </c>
      <c r="T28">
        <f t="shared" si="5"/>
        <v>2272433</v>
      </c>
      <c r="Z28" t="str">
        <f t="shared" si="9"/>
        <v>No</v>
      </c>
    </row>
    <row r="29" spans="1:26" ht="13.5" customHeight="1" x14ac:dyDescent="0.3">
      <c r="A29" s="2" t="s">
        <v>88</v>
      </c>
      <c r="B29" s="3" t="s">
        <v>14</v>
      </c>
      <c r="C29" s="3" t="s">
        <v>15</v>
      </c>
      <c r="D29" s="3" t="s">
        <v>53</v>
      </c>
      <c r="E29" s="4">
        <v>27993</v>
      </c>
      <c r="F29" s="2"/>
      <c r="G29" s="2">
        <v>35</v>
      </c>
      <c r="H29" s="5">
        <v>45474</v>
      </c>
      <c r="I29" s="5">
        <v>46294</v>
      </c>
      <c r="J29" s="2">
        <v>83</v>
      </c>
      <c r="K29" s="3" t="s">
        <v>36</v>
      </c>
      <c r="L29" s="2">
        <v>54</v>
      </c>
      <c r="M29" s="2" t="s">
        <v>18</v>
      </c>
      <c r="N29" t="str">
        <f t="shared" si="0"/>
        <v>Recorded</v>
      </c>
      <c r="O29" t="str">
        <f t="shared" si="1"/>
        <v>Missing</v>
      </c>
      <c r="P29" t="str">
        <f t="shared" ca="1" si="2"/>
        <v>Active</v>
      </c>
      <c r="Q29" s="9">
        <f t="shared" ca="1" si="11"/>
        <v>82</v>
      </c>
      <c r="R29" t="str">
        <f t="shared" ca="1" si="3"/>
        <v>Expiring Soon</v>
      </c>
      <c r="S29" s="10">
        <f t="shared" si="4"/>
        <v>0</v>
      </c>
      <c r="T29">
        <f t="shared" si="5"/>
        <v>0</v>
      </c>
      <c r="Z29" t="str">
        <f t="shared" si="9"/>
        <v>Yes</v>
      </c>
    </row>
    <row r="30" spans="1:26" ht="13.5" customHeight="1" x14ac:dyDescent="0.3">
      <c r="A30" s="2" t="s">
        <v>89</v>
      </c>
      <c r="B30" s="3" t="s">
        <v>65</v>
      </c>
      <c r="C30" s="3" t="s">
        <v>66</v>
      </c>
      <c r="D30" s="3" t="s">
        <v>43</v>
      </c>
      <c r="E30" s="4">
        <v>4582</v>
      </c>
      <c r="F30" s="2">
        <v>89</v>
      </c>
      <c r="G30" s="2">
        <v>52</v>
      </c>
      <c r="H30" s="5">
        <v>45365</v>
      </c>
      <c r="I30" s="5">
        <v>45989</v>
      </c>
      <c r="J30" s="2">
        <v>165</v>
      </c>
      <c r="K30" s="3" t="s">
        <v>23</v>
      </c>
      <c r="L30" s="2">
        <v>33</v>
      </c>
      <c r="M30" s="2" t="s">
        <v>18</v>
      </c>
      <c r="N30" t="str">
        <f t="shared" si="0"/>
        <v>Recorded</v>
      </c>
      <c r="O30" t="str">
        <f t="shared" si="1"/>
        <v>Recorded</v>
      </c>
      <c r="P30" t="str">
        <f t="shared" ca="1" si="2"/>
        <v>Expired</v>
      </c>
      <c r="Q30" s="9">
        <f t="shared" ca="1" si="11"/>
        <v>-223</v>
      </c>
      <c r="R30" t="str">
        <f t="shared" ca="1" si="3"/>
        <v>Expired</v>
      </c>
      <c r="S30" s="10">
        <f t="shared" si="4"/>
        <v>0.53939393939393943</v>
      </c>
      <c r="T30">
        <f t="shared" si="5"/>
        <v>407798</v>
      </c>
      <c r="Z30" t="str">
        <f t="shared" si="9"/>
        <v>No</v>
      </c>
    </row>
    <row r="31" spans="1:26" ht="13.5" customHeight="1" x14ac:dyDescent="0.3">
      <c r="A31" s="2" t="s">
        <v>90</v>
      </c>
      <c r="B31" s="3" t="s">
        <v>45</v>
      </c>
      <c r="C31" s="3" t="s">
        <v>46</v>
      </c>
      <c r="D31" s="3" t="s">
        <v>43</v>
      </c>
      <c r="E31" s="4">
        <v>12777</v>
      </c>
      <c r="F31" s="2">
        <v>202</v>
      </c>
      <c r="G31" s="2">
        <v>45</v>
      </c>
      <c r="H31" s="5">
        <v>45378</v>
      </c>
      <c r="I31" s="5">
        <v>46082</v>
      </c>
      <c r="J31" s="2">
        <v>99</v>
      </c>
      <c r="K31" s="3" t="s">
        <v>91</v>
      </c>
      <c r="L31" s="2">
        <v>82</v>
      </c>
      <c r="M31" s="2" t="s">
        <v>18</v>
      </c>
      <c r="N31" t="str">
        <f t="shared" si="0"/>
        <v>Recorded</v>
      </c>
      <c r="O31" t="str">
        <f t="shared" si="1"/>
        <v>Recorded</v>
      </c>
      <c r="P31" t="str">
        <f t="shared" ca="1" si="2"/>
        <v>Expired</v>
      </c>
      <c r="Q31" s="9">
        <f t="shared" ca="1" si="11"/>
        <v>-130</v>
      </c>
      <c r="R31" t="str">
        <f t="shared" ca="1" si="3"/>
        <v>Expired</v>
      </c>
      <c r="S31" s="10">
        <f t="shared" si="4"/>
        <v>2.0404040404040402</v>
      </c>
      <c r="T31">
        <f t="shared" si="5"/>
        <v>2580954</v>
      </c>
      <c r="Z31" t="str">
        <f t="shared" si="9"/>
        <v>No</v>
      </c>
    </row>
    <row r="32" spans="1:26" ht="13.5" customHeight="1" x14ac:dyDescent="0.3">
      <c r="A32" s="2" t="s">
        <v>92</v>
      </c>
      <c r="B32" s="3" t="s">
        <v>93</v>
      </c>
      <c r="C32" s="3" t="s">
        <v>27</v>
      </c>
      <c r="D32" s="3" t="s">
        <v>53</v>
      </c>
      <c r="E32" s="4">
        <v>24778</v>
      </c>
      <c r="F32" s="2">
        <v>161</v>
      </c>
      <c r="G32" s="2">
        <v>52</v>
      </c>
      <c r="H32" s="5">
        <v>45551</v>
      </c>
      <c r="I32" s="5">
        <v>46385</v>
      </c>
      <c r="J32" s="2">
        <v>34</v>
      </c>
      <c r="K32" s="3" t="s">
        <v>91</v>
      </c>
      <c r="L32" s="2">
        <v>29</v>
      </c>
      <c r="M32" s="2" t="s">
        <v>18</v>
      </c>
      <c r="N32" t="str">
        <f t="shared" si="0"/>
        <v>Recorded</v>
      </c>
      <c r="O32" t="str">
        <f t="shared" si="1"/>
        <v>Recorded</v>
      </c>
      <c r="P32" t="str">
        <f t="shared" ca="1" si="2"/>
        <v>Active</v>
      </c>
      <c r="Q32" s="9">
        <f t="shared" ca="1" si="11"/>
        <v>173</v>
      </c>
      <c r="R32" t="str">
        <f t="shared" ca="1" si="3"/>
        <v>OK</v>
      </c>
      <c r="S32" s="10">
        <f t="shared" si="4"/>
        <v>4.7352941176470589</v>
      </c>
      <c r="T32">
        <f t="shared" si="5"/>
        <v>3989258</v>
      </c>
      <c r="Z32" t="str">
        <f t="shared" si="9"/>
        <v>No</v>
      </c>
    </row>
    <row r="33" spans="1:26" ht="13.5" customHeight="1" x14ac:dyDescent="0.3">
      <c r="A33" s="2" t="s">
        <v>94</v>
      </c>
      <c r="B33" s="3" t="s">
        <v>39</v>
      </c>
      <c r="C33" s="3" t="s">
        <v>40</v>
      </c>
      <c r="D33" s="3" t="s">
        <v>22</v>
      </c>
      <c r="E33" s="2"/>
      <c r="F33" s="2">
        <v>279</v>
      </c>
      <c r="G33" s="2">
        <v>23</v>
      </c>
      <c r="H33" s="5">
        <v>45444</v>
      </c>
      <c r="I33" s="5">
        <v>45913</v>
      </c>
      <c r="J33" s="2">
        <v>137</v>
      </c>
      <c r="K33" s="3" t="s">
        <v>23</v>
      </c>
      <c r="L33" s="2">
        <v>0</v>
      </c>
      <c r="M33" s="2" t="s">
        <v>18</v>
      </c>
      <c r="N33" t="str">
        <f t="shared" si="0"/>
        <v>Missing</v>
      </c>
      <c r="O33" t="str">
        <f t="shared" si="1"/>
        <v>Recorded</v>
      </c>
      <c r="P33" t="str">
        <f t="shared" ca="1" si="2"/>
        <v>Expired</v>
      </c>
      <c r="Q33" s="9">
        <f t="shared" ca="1" si="11"/>
        <v>-299</v>
      </c>
      <c r="R33" t="str">
        <f t="shared" ca="1" si="3"/>
        <v>Expired</v>
      </c>
      <c r="S33" s="10">
        <f t="shared" si="4"/>
        <v>2.0364963503649633</v>
      </c>
      <c r="T33">
        <f t="shared" si="5"/>
        <v>0</v>
      </c>
      <c r="Z33" t="str">
        <f t="shared" si="9"/>
        <v>No</v>
      </c>
    </row>
    <row r="34" spans="1:26" ht="13.5" customHeight="1" x14ac:dyDescent="0.3">
      <c r="A34" s="2" t="s">
        <v>95</v>
      </c>
      <c r="B34" s="3" t="s">
        <v>73</v>
      </c>
      <c r="C34" s="3" t="s">
        <v>40</v>
      </c>
      <c r="D34" s="3" t="s">
        <v>50</v>
      </c>
      <c r="E34" s="4">
        <v>9138</v>
      </c>
      <c r="F34" s="2">
        <v>87</v>
      </c>
      <c r="G34" s="2">
        <v>63</v>
      </c>
      <c r="H34" s="5">
        <v>45334</v>
      </c>
      <c r="I34" s="5">
        <v>45305</v>
      </c>
      <c r="J34" s="2">
        <v>111</v>
      </c>
      <c r="K34" s="3" t="s">
        <v>91</v>
      </c>
      <c r="L34" s="2">
        <v>73</v>
      </c>
      <c r="M34" s="2" t="s">
        <v>29</v>
      </c>
      <c r="N34" t="str">
        <f t="shared" si="0"/>
        <v>Recorded</v>
      </c>
      <c r="O34" t="str">
        <f t="shared" si="1"/>
        <v>Recorded</v>
      </c>
      <c r="P34" t="str">
        <f t="shared" ca="1" si="2"/>
        <v>Expired</v>
      </c>
      <c r="Q34" s="9">
        <f t="shared" ca="1" si="11"/>
        <v>-907</v>
      </c>
      <c r="R34" t="str">
        <f t="shared" ca="1" si="3"/>
        <v>Expired</v>
      </c>
      <c r="S34" s="10">
        <f t="shared" si="4"/>
        <v>0.78378378378378377</v>
      </c>
      <c r="T34">
        <f t="shared" si="5"/>
        <v>795006</v>
      </c>
      <c r="Z34" t="str">
        <f t="shared" si="9"/>
        <v>No</v>
      </c>
    </row>
    <row r="35" spans="1:26" ht="13.5" customHeight="1" x14ac:dyDescent="0.3">
      <c r="A35" s="2" t="s">
        <v>96</v>
      </c>
      <c r="B35" s="3" t="s">
        <v>70</v>
      </c>
      <c r="C35" s="3" t="s">
        <v>15</v>
      </c>
      <c r="D35" s="3" t="s">
        <v>43</v>
      </c>
      <c r="E35" s="4">
        <v>34643</v>
      </c>
      <c r="F35" s="2">
        <v>14</v>
      </c>
      <c r="G35" s="2">
        <v>54</v>
      </c>
      <c r="H35" s="5">
        <v>45424</v>
      </c>
      <c r="I35" s="5">
        <v>45919</v>
      </c>
      <c r="J35" s="2">
        <v>73</v>
      </c>
      <c r="K35" s="3" t="s">
        <v>36</v>
      </c>
      <c r="L35" s="2">
        <v>23</v>
      </c>
      <c r="M35" s="2" t="s">
        <v>32</v>
      </c>
      <c r="N35" t="str">
        <f t="shared" si="0"/>
        <v>Recorded</v>
      </c>
      <c r="O35" t="str">
        <f t="shared" si="1"/>
        <v>Recorded</v>
      </c>
      <c r="P35" t="str">
        <f t="shared" ca="1" si="2"/>
        <v>Expired</v>
      </c>
      <c r="Q35" s="9">
        <f t="shared" ca="1" si="11"/>
        <v>-293</v>
      </c>
      <c r="R35" t="str">
        <f t="shared" ca="1" si="3"/>
        <v>Expired</v>
      </c>
      <c r="S35" s="10">
        <f t="shared" si="4"/>
        <v>0.19178082191780821</v>
      </c>
      <c r="T35">
        <f t="shared" si="5"/>
        <v>485002</v>
      </c>
      <c r="Z35" t="str">
        <f t="shared" si="9"/>
        <v>Yes</v>
      </c>
    </row>
    <row r="36" spans="1:26" ht="13.5" customHeight="1" x14ac:dyDescent="0.3">
      <c r="A36" s="2" t="s">
        <v>97</v>
      </c>
      <c r="B36" s="3" t="s">
        <v>93</v>
      </c>
      <c r="C36" s="3" t="s">
        <v>27</v>
      </c>
      <c r="D36" s="3" t="s">
        <v>53</v>
      </c>
      <c r="E36" s="4">
        <v>38862</v>
      </c>
      <c r="F36" s="2">
        <v>47</v>
      </c>
      <c r="G36" s="2">
        <v>36</v>
      </c>
      <c r="H36" s="5">
        <v>45360</v>
      </c>
      <c r="I36" s="5">
        <v>45870</v>
      </c>
      <c r="J36" s="2">
        <v>162</v>
      </c>
      <c r="K36" s="3" t="s">
        <v>17</v>
      </c>
      <c r="L36" s="2">
        <v>13</v>
      </c>
      <c r="M36" s="2" t="s">
        <v>18</v>
      </c>
      <c r="N36" t="str">
        <f t="shared" si="0"/>
        <v>Recorded</v>
      </c>
      <c r="O36" t="str">
        <f t="shared" si="1"/>
        <v>Recorded</v>
      </c>
      <c r="P36" t="str">
        <f t="shared" ca="1" si="2"/>
        <v>Expired</v>
      </c>
      <c r="Q36" s="9">
        <f t="shared" ca="1" si="11"/>
        <v>-342</v>
      </c>
      <c r="R36" t="str">
        <f t="shared" ca="1" si="3"/>
        <v>Expired</v>
      </c>
      <c r="S36" s="10">
        <f t="shared" si="4"/>
        <v>0.29012345679012347</v>
      </c>
      <c r="T36">
        <f t="shared" si="5"/>
        <v>1826514</v>
      </c>
      <c r="Z36" t="str">
        <f t="shared" si="9"/>
        <v>No</v>
      </c>
    </row>
    <row r="37" spans="1:26" ht="13.5" customHeight="1" x14ac:dyDescent="0.3">
      <c r="A37" s="2" t="s">
        <v>98</v>
      </c>
      <c r="B37" s="3" t="s">
        <v>39</v>
      </c>
      <c r="C37" s="3" t="s">
        <v>40</v>
      </c>
      <c r="D37" s="3" t="s">
        <v>53</v>
      </c>
      <c r="E37" s="2"/>
      <c r="F37" s="2">
        <v>306</v>
      </c>
      <c r="G37" s="2">
        <v>30</v>
      </c>
      <c r="H37" s="5">
        <v>45362</v>
      </c>
      <c r="I37" s="5">
        <v>45825</v>
      </c>
      <c r="J37" s="2">
        <v>68</v>
      </c>
      <c r="K37" s="3" t="s">
        <v>91</v>
      </c>
      <c r="L37" s="2">
        <v>35</v>
      </c>
      <c r="M37" s="2" t="s">
        <v>18</v>
      </c>
      <c r="N37" t="str">
        <f t="shared" si="0"/>
        <v>Missing</v>
      </c>
      <c r="O37" t="str">
        <f t="shared" si="1"/>
        <v>Recorded</v>
      </c>
      <c r="P37" t="str">
        <f t="shared" ca="1" si="2"/>
        <v>Expired</v>
      </c>
      <c r="Q37" s="9">
        <f t="shared" ca="1" si="11"/>
        <v>-387</v>
      </c>
      <c r="R37" t="str">
        <f t="shared" ca="1" si="3"/>
        <v>Expired</v>
      </c>
      <c r="S37" s="10">
        <f t="shared" si="4"/>
        <v>4.5</v>
      </c>
      <c r="T37">
        <f t="shared" si="5"/>
        <v>0</v>
      </c>
      <c r="Z37" t="str">
        <f t="shared" si="9"/>
        <v>No</v>
      </c>
    </row>
    <row r="38" spans="1:26" ht="13.5" customHeight="1" x14ac:dyDescent="0.3">
      <c r="A38" s="2" t="s">
        <v>99</v>
      </c>
      <c r="B38" s="3" t="s">
        <v>70</v>
      </c>
      <c r="C38" s="3" t="s">
        <v>15</v>
      </c>
      <c r="D38" s="3" t="s">
        <v>53</v>
      </c>
      <c r="E38" s="4">
        <v>28328</v>
      </c>
      <c r="F38" s="2">
        <v>95</v>
      </c>
      <c r="G38" s="2">
        <v>21</v>
      </c>
      <c r="H38" s="5">
        <v>45322</v>
      </c>
      <c r="I38" s="5">
        <v>46056</v>
      </c>
      <c r="J38" s="2">
        <v>121</v>
      </c>
      <c r="K38" s="3" t="s">
        <v>91</v>
      </c>
      <c r="L38" s="2">
        <v>42</v>
      </c>
      <c r="M38" s="2" t="s">
        <v>18</v>
      </c>
      <c r="N38" t="str">
        <f t="shared" si="0"/>
        <v>Recorded</v>
      </c>
      <c r="O38" t="str">
        <f t="shared" si="1"/>
        <v>Recorded</v>
      </c>
      <c r="P38" t="str">
        <f t="shared" ca="1" si="2"/>
        <v>Expired</v>
      </c>
      <c r="Q38" s="9">
        <f t="shared" ca="1" si="11"/>
        <v>-156</v>
      </c>
      <c r="R38" t="str">
        <f t="shared" ca="1" si="3"/>
        <v>Expired</v>
      </c>
      <c r="S38" s="10">
        <f t="shared" si="4"/>
        <v>0.78512396694214881</v>
      </c>
      <c r="T38">
        <f t="shared" si="5"/>
        <v>2691160</v>
      </c>
      <c r="Z38" t="str">
        <f t="shared" si="9"/>
        <v>No</v>
      </c>
    </row>
    <row r="39" spans="1:26" ht="13.5" customHeight="1" x14ac:dyDescent="0.3">
      <c r="A39" s="2" t="s">
        <v>100</v>
      </c>
      <c r="B39" s="11" t="s">
        <v>86</v>
      </c>
      <c r="C39" s="3" t="s">
        <v>27</v>
      </c>
      <c r="D39" s="3" t="s">
        <v>43</v>
      </c>
      <c r="E39" s="4">
        <v>42806</v>
      </c>
      <c r="F39" s="2">
        <v>47</v>
      </c>
      <c r="G39" s="2">
        <v>24</v>
      </c>
      <c r="H39" s="5">
        <v>45421</v>
      </c>
      <c r="I39" s="5">
        <v>46381</v>
      </c>
      <c r="J39" s="2">
        <v>133</v>
      </c>
      <c r="K39" s="3" t="s">
        <v>23</v>
      </c>
      <c r="L39" s="2">
        <v>60</v>
      </c>
      <c r="M39" s="2" t="s">
        <v>18</v>
      </c>
      <c r="N39" t="str">
        <f t="shared" si="0"/>
        <v>Recorded</v>
      </c>
      <c r="O39" t="str">
        <f t="shared" si="1"/>
        <v>Recorded</v>
      </c>
      <c r="P39" t="str">
        <f t="shared" ca="1" si="2"/>
        <v>Active</v>
      </c>
      <c r="Q39" s="9">
        <f t="shared" ca="1" si="11"/>
        <v>169</v>
      </c>
      <c r="R39" t="str">
        <f t="shared" ca="1" si="3"/>
        <v>OK</v>
      </c>
      <c r="S39" s="10">
        <f t="shared" si="4"/>
        <v>0.35338345864661652</v>
      </c>
      <c r="T39">
        <f t="shared" si="5"/>
        <v>2011882</v>
      </c>
      <c r="Z39" t="str">
        <f t="shared" si="9"/>
        <v>No</v>
      </c>
    </row>
    <row r="40" spans="1:26" ht="13.5" customHeight="1" x14ac:dyDescent="0.3">
      <c r="A40" s="2" t="s">
        <v>101</v>
      </c>
      <c r="B40" s="3" t="s">
        <v>102</v>
      </c>
      <c r="C40" s="3" t="s">
        <v>103</v>
      </c>
      <c r="D40" s="3" t="s">
        <v>22</v>
      </c>
      <c r="E40" s="4">
        <v>36471</v>
      </c>
      <c r="F40" s="2">
        <v>312</v>
      </c>
      <c r="G40" s="2">
        <v>67</v>
      </c>
      <c r="H40" s="5">
        <v>45361</v>
      </c>
      <c r="I40" s="5">
        <v>46142</v>
      </c>
      <c r="J40" s="2">
        <v>147</v>
      </c>
      <c r="K40" s="3" t="s">
        <v>36</v>
      </c>
      <c r="L40" s="2">
        <v>45</v>
      </c>
      <c r="M40" s="2" t="s">
        <v>18</v>
      </c>
      <c r="N40" t="str">
        <f t="shared" si="0"/>
        <v>Recorded</v>
      </c>
      <c r="O40" t="str">
        <f t="shared" si="1"/>
        <v>Recorded</v>
      </c>
      <c r="P40" t="str">
        <f t="shared" ca="1" si="2"/>
        <v>Expired</v>
      </c>
      <c r="Q40" s="9">
        <f t="shared" ca="1" si="11"/>
        <v>-70</v>
      </c>
      <c r="R40" t="str">
        <f t="shared" ca="1" si="3"/>
        <v>Expired</v>
      </c>
      <c r="S40" s="10">
        <f t="shared" si="4"/>
        <v>2.1224489795918369</v>
      </c>
      <c r="T40">
        <f t="shared" si="5"/>
        <v>11378952</v>
      </c>
      <c r="Z40" t="str">
        <f t="shared" si="9"/>
        <v>No</v>
      </c>
    </row>
    <row r="41" spans="1:26" ht="13.5" customHeight="1" x14ac:dyDescent="0.3">
      <c r="A41" s="2" t="s">
        <v>104</v>
      </c>
      <c r="B41" s="3" t="s">
        <v>26</v>
      </c>
      <c r="C41" s="3" t="s">
        <v>27</v>
      </c>
      <c r="D41" s="3" t="s">
        <v>43</v>
      </c>
      <c r="E41" s="4">
        <v>4845</v>
      </c>
      <c r="F41" s="2">
        <v>346</v>
      </c>
      <c r="G41" s="2">
        <v>22</v>
      </c>
      <c r="H41" s="5">
        <v>45449</v>
      </c>
      <c r="I41" s="5">
        <v>46282</v>
      </c>
      <c r="J41" s="2">
        <v>107</v>
      </c>
      <c r="K41" s="3" t="s">
        <v>91</v>
      </c>
      <c r="L41" s="2">
        <v>12</v>
      </c>
      <c r="M41" s="2" t="s">
        <v>32</v>
      </c>
      <c r="N41" t="str">
        <f t="shared" si="0"/>
        <v>Recorded</v>
      </c>
      <c r="O41" t="str">
        <f t="shared" si="1"/>
        <v>Recorded</v>
      </c>
      <c r="P41" t="str">
        <f t="shared" ca="1" si="2"/>
        <v>Active</v>
      </c>
      <c r="Q41" s="9">
        <f t="shared" ca="1" si="11"/>
        <v>70</v>
      </c>
      <c r="R41" t="str">
        <f t="shared" ca="1" si="3"/>
        <v>Expiring Soon</v>
      </c>
      <c r="S41" s="10">
        <f t="shared" si="4"/>
        <v>3.2336448598130842</v>
      </c>
      <c r="T41">
        <f t="shared" si="5"/>
        <v>1676370</v>
      </c>
      <c r="Z41" t="str">
        <f t="shared" si="9"/>
        <v>No</v>
      </c>
    </row>
    <row r="42" spans="1:26" ht="13.5" customHeight="1" x14ac:dyDescent="0.3">
      <c r="A42" s="2" t="s">
        <v>105</v>
      </c>
      <c r="B42" s="3" t="s">
        <v>106</v>
      </c>
      <c r="C42" s="3" t="s">
        <v>49</v>
      </c>
      <c r="D42" s="3" t="s">
        <v>22</v>
      </c>
      <c r="E42" s="4">
        <v>44921</v>
      </c>
      <c r="F42" s="2">
        <v>291</v>
      </c>
      <c r="G42" s="2">
        <v>74</v>
      </c>
      <c r="H42" s="5">
        <v>45516</v>
      </c>
      <c r="I42" s="5">
        <v>45694</v>
      </c>
      <c r="J42" s="2">
        <v>163</v>
      </c>
      <c r="K42" s="3" t="s">
        <v>91</v>
      </c>
      <c r="L42" s="2">
        <v>159</v>
      </c>
      <c r="M42" s="2" t="s">
        <v>29</v>
      </c>
      <c r="N42" t="str">
        <f t="shared" si="0"/>
        <v>Recorded</v>
      </c>
      <c r="O42" t="str">
        <f t="shared" si="1"/>
        <v>Recorded</v>
      </c>
      <c r="P42" t="str">
        <f t="shared" ca="1" si="2"/>
        <v>Expired</v>
      </c>
      <c r="Q42" s="9">
        <f t="shared" ca="1" si="11"/>
        <v>-518</v>
      </c>
      <c r="R42" t="str">
        <f t="shared" ca="1" si="3"/>
        <v>Expired</v>
      </c>
      <c r="S42" s="10">
        <f t="shared" si="4"/>
        <v>1.7852760736196318</v>
      </c>
      <c r="T42">
        <f t="shared" si="5"/>
        <v>13072011</v>
      </c>
      <c r="Z42" t="str">
        <f t="shared" si="9"/>
        <v>No</v>
      </c>
    </row>
    <row r="43" spans="1:26" ht="13.5" customHeight="1" x14ac:dyDescent="0.3">
      <c r="A43" s="2" t="s">
        <v>107</v>
      </c>
      <c r="B43" s="3" t="s">
        <v>93</v>
      </c>
      <c r="C43" s="3" t="s">
        <v>27</v>
      </c>
      <c r="D43" s="3" t="s">
        <v>22</v>
      </c>
      <c r="E43" s="4">
        <v>6602</v>
      </c>
      <c r="F43" s="2">
        <v>241</v>
      </c>
      <c r="G43" s="2">
        <v>61</v>
      </c>
      <c r="H43" s="5">
        <v>45468</v>
      </c>
      <c r="I43" s="5">
        <v>46292</v>
      </c>
      <c r="J43" s="2">
        <v>16</v>
      </c>
      <c r="K43" s="3" t="s">
        <v>23</v>
      </c>
      <c r="L43" s="2">
        <v>4</v>
      </c>
      <c r="M43" s="2" t="s">
        <v>18</v>
      </c>
      <c r="N43" t="str">
        <f t="shared" si="0"/>
        <v>Recorded</v>
      </c>
      <c r="O43" t="str">
        <f t="shared" si="1"/>
        <v>Recorded</v>
      </c>
      <c r="P43" t="str">
        <f t="shared" ca="1" si="2"/>
        <v>Active</v>
      </c>
      <c r="Q43" s="9">
        <f t="shared" ca="1" si="11"/>
        <v>80</v>
      </c>
      <c r="R43" t="str">
        <f t="shared" ca="1" si="3"/>
        <v>Expiring Soon</v>
      </c>
      <c r="S43" s="10">
        <f t="shared" si="4"/>
        <v>15.0625</v>
      </c>
      <c r="T43">
        <f t="shared" si="5"/>
        <v>1591082</v>
      </c>
      <c r="Z43" t="str">
        <f t="shared" si="9"/>
        <v>No</v>
      </c>
    </row>
    <row r="44" spans="1:26" ht="13.5" customHeight="1" x14ac:dyDescent="0.3">
      <c r="A44" s="2" t="s">
        <v>108</v>
      </c>
      <c r="B44" s="3" t="s">
        <v>48</v>
      </c>
      <c r="C44" s="3" t="s">
        <v>49</v>
      </c>
      <c r="D44" s="3" t="s">
        <v>53</v>
      </c>
      <c r="E44" s="4">
        <v>12044</v>
      </c>
      <c r="F44" s="2">
        <v>191</v>
      </c>
      <c r="G44" s="2">
        <v>63</v>
      </c>
      <c r="H44" s="5">
        <v>45439</v>
      </c>
      <c r="I44" s="5">
        <v>45956</v>
      </c>
      <c r="J44" s="2">
        <v>56</v>
      </c>
      <c r="K44" s="3" t="s">
        <v>28</v>
      </c>
      <c r="L44" s="2">
        <v>2</v>
      </c>
      <c r="M44" s="2" t="s">
        <v>18</v>
      </c>
      <c r="N44" t="str">
        <f t="shared" si="0"/>
        <v>Recorded</v>
      </c>
      <c r="O44" t="str">
        <f t="shared" si="1"/>
        <v>Recorded</v>
      </c>
      <c r="P44" t="str">
        <f t="shared" ca="1" si="2"/>
        <v>Expired</v>
      </c>
      <c r="Q44" s="9">
        <f t="shared" ca="1" si="11"/>
        <v>-256</v>
      </c>
      <c r="R44" t="str">
        <f t="shared" ca="1" si="3"/>
        <v>Expired</v>
      </c>
      <c r="S44" s="10">
        <f t="shared" si="4"/>
        <v>3.4107142857142856</v>
      </c>
      <c r="T44">
        <f t="shared" si="5"/>
        <v>2300404</v>
      </c>
      <c r="Z44" t="str">
        <f t="shared" si="9"/>
        <v>No</v>
      </c>
    </row>
    <row r="45" spans="1:26" ht="13.5" customHeight="1" x14ac:dyDescent="0.3">
      <c r="A45" s="2" t="s">
        <v>109</v>
      </c>
      <c r="B45" s="3" t="s">
        <v>81</v>
      </c>
      <c r="C45" s="3" t="s">
        <v>82</v>
      </c>
      <c r="D45" s="3" t="s">
        <v>43</v>
      </c>
      <c r="E45" s="4">
        <v>28959</v>
      </c>
      <c r="F45" s="2">
        <v>422</v>
      </c>
      <c r="G45" s="2">
        <v>41</v>
      </c>
      <c r="H45" s="5">
        <v>45339</v>
      </c>
      <c r="I45" s="5">
        <v>45817</v>
      </c>
      <c r="J45" s="2">
        <v>89</v>
      </c>
      <c r="K45" s="3" t="s">
        <v>36</v>
      </c>
      <c r="L45" s="2">
        <v>15</v>
      </c>
      <c r="M45" s="2" t="s">
        <v>18</v>
      </c>
      <c r="N45" t="str">
        <f t="shared" si="0"/>
        <v>Recorded</v>
      </c>
      <c r="O45" t="str">
        <f t="shared" si="1"/>
        <v>Recorded</v>
      </c>
      <c r="P45" t="str">
        <f t="shared" ca="1" si="2"/>
        <v>Expired</v>
      </c>
      <c r="Q45" s="9">
        <f t="shared" ca="1" si="11"/>
        <v>-395</v>
      </c>
      <c r="R45" t="str">
        <f t="shared" ca="1" si="3"/>
        <v>Expired</v>
      </c>
      <c r="S45" s="10">
        <f t="shared" si="4"/>
        <v>4.7415730337078648</v>
      </c>
      <c r="T45">
        <f t="shared" si="5"/>
        <v>12220698</v>
      </c>
      <c r="Z45" t="str">
        <f t="shared" si="9"/>
        <v>No</v>
      </c>
    </row>
    <row r="46" spans="1:26" ht="13.5" customHeight="1" x14ac:dyDescent="0.3">
      <c r="A46" s="2" t="s">
        <v>110</v>
      </c>
      <c r="B46" s="3" t="s">
        <v>111</v>
      </c>
      <c r="C46" s="3" t="s">
        <v>62</v>
      </c>
      <c r="D46" s="3" t="s">
        <v>43</v>
      </c>
      <c r="E46" s="4">
        <v>23291</v>
      </c>
      <c r="F46" s="2">
        <v>335</v>
      </c>
      <c r="G46" s="2">
        <v>73</v>
      </c>
      <c r="H46" s="5">
        <v>45298</v>
      </c>
      <c r="I46" s="5">
        <v>46052</v>
      </c>
      <c r="J46" s="2">
        <v>116</v>
      </c>
      <c r="K46" s="3" t="s">
        <v>28</v>
      </c>
      <c r="L46" s="2">
        <v>74</v>
      </c>
      <c r="M46" s="2" t="s">
        <v>18</v>
      </c>
      <c r="N46" t="str">
        <f t="shared" si="0"/>
        <v>Recorded</v>
      </c>
      <c r="O46" t="str">
        <f t="shared" si="1"/>
        <v>Recorded</v>
      </c>
      <c r="P46" t="str">
        <f t="shared" ca="1" si="2"/>
        <v>Expired</v>
      </c>
      <c r="Q46" s="9">
        <f t="shared" ca="1" si="11"/>
        <v>-160</v>
      </c>
      <c r="R46" t="str">
        <f t="shared" ca="1" si="3"/>
        <v>Expired</v>
      </c>
      <c r="S46" s="10">
        <f t="shared" si="4"/>
        <v>2.8879310344827585</v>
      </c>
      <c r="T46">
        <f t="shared" si="5"/>
        <v>7802485</v>
      </c>
      <c r="Z46" t="str">
        <f t="shared" si="9"/>
        <v>No</v>
      </c>
    </row>
    <row r="47" spans="1:26" ht="13.5" customHeight="1" x14ac:dyDescent="0.3">
      <c r="A47" s="2" t="s">
        <v>112</v>
      </c>
      <c r="B47" s="3" t="s">
        <v>113</v>
      </c>
      <c r="C47" s="3" t="s">
        <v>114</v>
      </c>
      <c r="D47" s="3" t="s">
        <v>43</v>
      </c>
      <c r="E47" s="4">
        <v>7172</v>
      </c>
      <c r="F47" s="2">
        <v>268</v>
      </c>
      <c r="G47" s="2">
        <v>65</v>
      </c>
      <c r="H47" s="5">
        <v>45430</v>
      </c>
      <c r="I47" s="5">
        <v>46029</v>
      </c>
      <c r="J47" s="2">
        <v>170</v>
      </c>
      <c r="K47" s="3" t="s">
        <v>36</v>
      </c>
      <c r="L47" s="2">
        <v>108</v>
      </c>
      <c r="M47" s="2" t="s">
        <v>18</v>
      </c>
      <c r="N47" t="str">
        <f t="shared" si="0"/>
        <v>Recorded</v>
      </c>
      <c r="O47" t="str">
        <f t="shared" si="1"/>
        <v>Recorded</v>
      </c>
      <c r="P47" t="str">
        <f t="shared" ca="1" si="2"/>
        <v>Expired</v>
      </c>
      <c r="Q47" s="9">
        <f t="shared" ca="1" si="11"/>
        <v>-183</v>
      </c>
      <c r="R47" t="str">
        <f t="shared" ca="1" si="3"/>
        <v>Expired</v>
      </c>
      <c r="S47" s="10">
        <f t="shared" si="4"/>
        <v>1.5764705882352941</v>
      </c>
      <c r="T47">
        <f t="shared" si="5"/>
        <v>1922096</v>
      </c>
      <c r="Z47" t="str">
        <f t="shared" si="9"/>
        <v>No</v>
      </c>
    </row>
    <row r="48" spans="1:26" ht="13.5" customHeight="1" x14ac:dyDescent="0.3">
      <c r="A48" s="2" t="s">
        <v>115</v>
      </c>
      <c r="B48" s="3" t="s">
        <v>86</v>
      </c>
      <c r="C48" s="3" t="s">
        <v>27</v>
      </c>
      <c r="D48" s="3" t="s">
        <v>50</v>
      </c>
      <c r="E48" s="4">
        <v>6027</v>
      </c>
      <c r="F48" s="2">
        <v>245</v>
      </c>
      <c r="G48" s="2">
        <v>79</v>
      </c>
      <c r="H48" s="5">
        <v>45482</v>
      </c>
      <c r="I48" s="5">
        <v>45360</v>
      </c>
      <c r="J48" s="2">
        <v>64</v>
      </c>
      <c r="K48" s="3" t="s">
        <v>36</v>
      </c>
      <c r="L48" s="2">
        <v>6</v>
      </c>
      <c r="M48" s="2" t="s">
        <v>29</v>
      </c>
      <c r="N48" t="str">
        <f t="shared" si="0"/>
        <v>Recorded</v>
      </c>
      <c r="O48" t="str">
        <f t="shared" si="1"/>
        <v>Recorded</v>
      </c>
      <c r="P48" t="str">
        <f t="shared" ca="1" si="2"/>
        <v>Expired</v>
      </c>
      <c r="Q48" s="9">
        <f t="shared" ca="1" si="11"/>
        <v>-852</v>
      </c>
      <c r="R48" t="str">
        <f t="shared" ca="1" si="3"/>
        <v>Expired</v>
      </c>
      <c r="S48" s="10">
        <f t="shared" si="4"/>
        <v>3.828125</v>
      </c>
      <c r="T48">
        <f t="shared" si="5"/>
        <v>1476615</v>
      </c>
      <c r="Z48" t="str">
        <f t="shared" si="9"/>
        <v>No</v>
      </c>
    </row>
    <row r="49" spans="1:26" ht="13.5" customHeight="1" x14ac:dyDescent="0.3">
      <c r="A49" s="2" t="s">
        <v>116</v>
      </c>
      <c r="B49" s="3" t="s">
        <v>113</v>
      </c>
      <c r="C49" s="3" t="s">
        <v>114</v>
      </c>
      <c r="D49" s="3" t="s">
        <v>16</v>
      </c>
      <c r="E49" s="4">
        <v>17171</v>
      </c>
      <c r="F49" s="2">
        <v>446</v>
      </c>
      <c r="G49" s="2">
        <v>49</v>
      </c>
      <c r="H49" s="5">
        <v>45562</v>
      </c>
      <c r="I49" s="5">
        <v>46012</v>
      </c>
      <c r="J49" s="2">
        <v>78</v>
      </c>
      <c r="K49" s="3" t="s">
        <v>28</v>
      </c>
      <c r="L49" s="2">
        <v>48</v>
      </c>
      <c r="M49" s="2" t="s">
        <v>18</v>
      </c>
      <c r="N49" t="str">
        <f t="shared" si="0"/>
        <v>Recorded</v>
      </c>
      <c r="O49" t="str">
        <f t="shared" si="1"/>
        <v>Recorded</v>
      </c>
      <c r="P49" t="str">
        <f t="shared" ca="1" si="2"/>
        <v>Expired</v>
      </c>
      <c r="Q49" s="9">
        <f t="shared" ca="1" si="11"/>
        <v>-200</v>
      </c>
      <c r="R49" t="str">
        <f t="shared" ca="1" si="3"/>
        <v>Expired</v>
      </c>
      <c r="S49" s="10">
        <f t="shared" si="4"/>
        <v>5.7179487179487181</v>
      </c>
      <c r="T49">
        <f t="shared" si="5"/>
        <v>7658266</v>
      </c>
      <c r="Z49" t="str">
        <f t="shared" si="9"/>
        <v>No</v>
      </c>
    </row>
    <row r="50" spans="1:26" ht="13.5" customHeight="1" x14ac:dyDescent="0.3">
      <c r="A50" s="2" t="s">
        <v>117</v>
      </c>
      <c r="B50" s="3" t="s">
        <v>86</v>
      </c>
      <c r="C50" s="3" t="s">
        <v>27</v>
      </c>
      <c r="D50" s="3" t="s">
        <v>53</v>
      </c>
      <c r="E50" s="4">
        <v>18449</v>
      </c>
      <c r="F50" s="2">
        <v>10</v>
      </c>
      <c r="G50" s="2">
        <v>69</v>
      </c>
      <c r="H50" s="5">
        <v>45502</v>
      </c>
      <c r="I50" s="5">
        <v>45901</v>
      </c>
      <c r="J50" s="2">
        <v>104</v>
      </c>
      <c r="K50" s="3" t="s">
        <v>91</v>
      </c>
      <c r="L50" s="2">
        <v>21</v>
      </c>
      <c r="M50" s="2" t="s">
        <v>32</v>
      </c>
      <c r="N50" t="str">
        <f t="shared" si="0"/>
        <v>Recorded</v>
      </c>
      <c r="O50" t="str">
        <f t="shared" si="1"/>
        <v>Recorded</v>
      </c>
      <c r="P50" t="str">
        <f t="shared" ca="1" si="2"/>
        <v>Expired</v>
      </c>
      <c r="Q50" s="9">
        <f t="shared" ca="1" si="11"/>
        <v>-311</v>
      </c>
      <c r="R50" t="str">
        <f t="shared" ca="1" si="3"/>
        <v>Expired</v>
      </c>
      <c r="S50" s="10">
        <f t="shared" si="4"/>
        <v>9.6153846153846159E-2</v>
      </c>
      <c r="T50">
        <f t="shared" si="5"/>
        <v>184490</v>
      </c>
      <c r="Z50" t="str">
        <f t="shared" si="9"/>
        <v>Yes</v>
      </c>
    </row>
    <row r="51" spans="1:26" ht="13.5" customHeight="1" x14ac:dyDescent="0.3">
      <c r="A51" s="2" t="s">
        <v>118</v>
      </c>
      <c r="B51" s="3" t="s">
        <v>34</v>
      </c>
      <c r="C51" s="3" t="s">
        <v>35</v>
      </c>
      <c r="D51" s="3" t="s">
        <v>22</v>
      </c>
      <c r="E51" s="4">
        <v>25957</v>
      </c>
      <c r="F51" s="2">
        <v>226</v>
      </c>
      <c r="G51" s="2">
        <v>72</v>
      </c>
      <c r="H51" s="5">
        <v>45442</v>
      </c>
      <c r="I51" s="5">
        <v>45949</v>
      </c>
      <c r="J51" s="2">
        <v>26</v>
      </c>
      <c r="K51" s="3" t="s">
        <v>28</v>
      </c>
      <c r="L51" s="2">
        <v>22</v>
      </c>
      <c r="M51" s="2" t="s">
        <v>18</v>
      </c>
      <c r="N51" t="str">
        <f t="shared" si="0"/>
        <v>Recorded</v>
      </c>
      <c r="O51" t="str">
        <f t="shared" si="1"/>
        <v>Recorded</v>
      </c>
      <c r="P51" t="str">
        <f t="shared" ca="1" si="2"/>
        <v>Expired</v>
      </c>
      <c r="Q51" s="9">
        <f t="shared" ca="1" si="11"/>
        <v>-263</v>
      </c>
      <c r="R51" t="str">
        <f t="shared" ca="1" si="3"/>
        <v>Expired</v>
      </c>
      <c r="S51" s="10">
        <f t="shared" si="4"/>
        <v>8.6923076923076916</v>
      </c>
      <c r="T51">
        <f t="shared" si="5"/>
        <v>5866282</v>
      </c>
      <c r="Z51" t="str">
        <f t="shared" si="9"/>
        <v>No</v>
      </c>
    </row>
    <row r="52" spans="1:26" ht="13.5" customHeight="1" x14ac:dyDescent="0.3">
      <c r="A52" s="2" t="s">
        <v>119</v>
      </c>
      <c r="B52" s="3" t="s">
        <v>113</v>
      </c>
      <c r="C52" s="3" t="s">
        <v>114</v>
      </c>
      <c r="D52" s="3" t="s">
        <v>22</v>
      </c>
      <c r="E52" s="4">
        <v>19611</v>
      </c>
      <c r="F52" s="2">
        <v>118</v>
      </c>
      <c r="G52" s="2">
        <v>70</v>
      </c>
      <c r="H52" s="5">
        <v>45435</v>
      </c>
      <c r="I52" s="5">
        <v>45732</v>
      </c>
      <c r="J52" s="2">
        <v>82</v>
      </c>
      <c r="K52" s="3" t="s">
        <v>23</v>
      </c>
      <c r="L52" s="2">
        <v>58</v>
      </c>
      <c r="M52" s="2" t="s">
        <v>18</v>
      </c>
      <c r="N52" t="str">
        <f t="shared" si="0"/>
        <v>Recorded</v>
      </c>
      <c r="O52" t="str">
        <f t="shared" si="1"/>
        <v>Recorded</v>
      </c>
      <c r="P52" t="str">
        <f t="shared" ca="1" si="2"/>
        <v>Expired</v>
      </c>
      <c r="Q52" s="9">
        <f t="shared" ca="1" si="11"/>
        <v>-480</v>
      </c>
      <c r="R52" t="str">
        <f t="shared" ca="1" si="3"/>
        <v>Expired</v>
      </c>
      <c r="S52" s="10">
        <f t="shared" si="4"/>
        <v>1.4390243902439024</v>
      </c>
      <c r="T52">
        <f t="shared" si="5"/>
        <v>2314098</v>
      </c>
      <c r="Z52" t="str">
        <f t="shared" si="9"/>
        <v>No</v>
      </c>
    </row>
    <row r="53" spans="1:26" ht="13.5" customHeight="1" x14ac:dyDescent="0.3">
      <c r="A53" s="2" t="s">
        <v>120</v>
      </c>
      <c r="B53" s="3" t="s">
        <v>45</v>
      </c>
      <c r="C53" s="3" t="s">
        <v>46</v>
      </c>
      <c r="D53" s="3" t="s">
        <v>22</v>
      </c>
      <c r="E53" s="4">
        <v>44106</v>
      </c>
      <c r="F53" s="2">
        <v>186</v>
      </c>
      <c r="G53" s="2">
        <v>76</v>
      </c>
      <c r="H53" s="5">
        <v>45512</v>
      </c>
      <c r="I53" s="5">
        <v>46358</v>
      </c>
      <c r="J53" s="2">
        <v>40</v>
      </c>
      <c r="K53" s="3" t="s">
        <v>36</v>
      </c>
      <c r="L53" s="2">
        <v>22</v>
      </c>
      <c r="M53" s="2" t="s">
        <v>18</v>
      </c>
      <c r="N53" t="str">
        <f t="shared" si="0"/>
        <v>Recorded</v>
      </c>
      <c r="O53" t="str">
        <f t="shared" si="1"/>
        <v>Recorded</v>
      </c>
      <c r="P53" t="str">
        <f t="shared" ca="1" si="2"/>
        <v>Active</v>
      </c>
      <c r="Q53" s="9">
        <f t="shared" ca="1" si="11"/>
        <v>146</v>
      </c>
      <c r="R53" t="str">
        <f t="shared" ca="1" si="3"/>
        <v>OK</v>
      </c>
      <c r="S53" s="10">
        <f t="shared" si="4"/>
        <v>4.6500000000000004</v>
      </c>
      <c r="T53">
        <f t="shared" si="5"/>
        <v>8203716</v>
      </c>
      <c r="Z53" t="str">
        <f t="shared" si="9"/>
        <v>No</v>
      </c>
    </row>
    <row r="54" spans="1:26" ht="13.5" customHeight="1" x14ac:dyDescent="0.3">
      <c r="A54" s="2" t="s">
        <v>121</v>
      </c>
      <c r="B54" s="3" t="s">
        <v>84</v>
      </c>
      <c r="C54" s="3" t="s">
        <v>27</v>
      </c>
      <c r="D54" s="3" t="s">
        <v>43</v>
      </c>
      <c r="E54" s="4">
        <v>30944</v>
      </c>
      <c r="F54" s="2">
        <v>267</v>
      </c>
      <c r="G54" s="2">
        <v>43</v>
      </c>
      <c r="H54" s="5">
        <v>45310</v>
      </c>
      <c r="I54" s="5">
        <v>45378</v>
      </c>
      <c r="J54" s="2">
        <v>49</v>
      </c>
      <c r="K54" s="3" t="s">
        <v>36</v>
      </c>
      <c r="L54" s="2">
        <v>31</v>
      </c>
      <c r="M54" s="2" t="s">
        <v>29</v>
      </c>
      <c r="N54" t="str">
        <f t="shared" si="0"/>
        <v>Recorded</v>
      </c>
      <c r="O54" t="str">
        <f t="shared" si="1"/>
        <v>Recorded</v>
      </c>
      <c r="P54" t="str">
        <f t="shared" ca="1" si="2"/>
        <v>Expired</v>
      </c>
      <c r="Q54" s="9">
        <f t="shared" ca="1" si="11"/>
        <v>-834</v>
      </c>
      <c r="R54" t="str">
        <f t="shared" ca="1" si="3"/>
        <v>Expired</v>
      </c>
      <c r="S54" s="10">
        <f t="shared" si="4"/>
        <v>5.4489795918367347</v>
      </c>
      <c r="T54">
        <f t="shared" si="5"/>
        <v>8262048</v>
      </c>
      <c r="Z54" t="str">
        <f t="shared" si="9"/>
        <v>No</v>
      </c>
    </row>
    <row r="55" spans="1:26" ht="13.5" customHeight="1" x14ac:dyDescent="0.3">
      <c r="A55" s="2" t="s">
        <v>122</v>
      </c>
      <c r="B55" s="3" t="s">
        <v>111</v>
      </c>
      <c r="C55" s="3" t="s">
        <v>62</v>
      </c>
      <c r="D55" s="3" t="s">
        <v>53</v>
      </c>
      <c r="E55" s="4">
        <v>21675</v>
      </c>
      <c r="F55" s="2">
        <v>384</v>
      </c>
      <c r="G55" s="2">
        <v>42</v>
      </c>
      <c r="H55" s="5">
        <v>45390</v>
      </c>
      <c r="I55" s="5">
        <v>45851</v>
      </c>
      <c r="J55" s="2">
        <v>154</v>
      </c>
      <c r="K55" s="3" t="s">
        <v>17</v>
      </c>
      <c r="L55" s="2">
        <v>43</v>
      </c>
      <c r="M55" s="2" t="s">
        <v>18</v>
      </c>
      <c r="N55" t="str">
        <f t="shared" si="0"/>
        <v>Recorded</v>
      </c>
      <c r="O55" t="str">
        <f t="shared" si="1"/>
        <v>Recorded</v>
      </c>
      <c r="P55" t="str">
        <f t="shared" ca="1" si="2"/>
        <v>Expired</v>
      </c>
      <c r="Q55" s="9">
        <f t="shared" ca="1" si="11"/>
        <v>-361</v>
      </c>
      <c r="R55" t="str">
        <f t="shared" ca="1" si="3"/>
        <v>Expired</v>
      </c>
      <c r="S55" s="10">
        <f t="shared" si="4"/>
        <v>2.4935064935064934</v>
      </c>
      <c r="T55">
        <f t="shared" si="5"/>
        <v>8323200</v>
      </c>
      <c r="Z55" t="str">
        <f t="shared" si="9"/>
        <v>No</v>
      </c>
    </row>
    <row r="56" spans="1:26" ht="13.5" customHeight="1" x14ac:dyDescent="0.3">
      <c r="A56" s="2" t="s">
        <v>123</v>
      </c>
      <c r="B56" s="3" t="s">
        <v>102</v>
      </c>
      <c r="C56" s="3" t="s">
        <v>103</v>
      </c>
      <c r="D56" s="3" t="s">
        <v>53</v>
      </c>
      <c r="E56" s="4">
        <v>34944</v>
      </c>
      <c r="F56" s="2">
        <v>106</v>
      </c>
      <c r="G56" s="2">
        <v>47</v>
      </c>
      <c r="H56" s="5">
        <v>45579</v>
      </c>
      <c r="I56" s="5">
        <v>45896</v>
      </c>
      <c r="J56" s="2">
        <v>171</v>
      </c>
      <c r="K56" s="3" t="s">
        <v>17</v>
      </c>
      <c r="L56" s="2">
        <v>124</v>
      </c>
      <c r="M56" s="2" t="s">
        <v>18</v>
      </c>
      <c r="N56" t="str">
        <f t="shared" si="0"/>
        <v>Recorded</v>
      </c>
      <c r="O56" t="str">
        <f t="shared" si="1"/>
        <v>Recorded</v>
      </c>
      <c r="P56" t="str">
        <f t="shared" ca="1" si="2"/>
        <v>Expired</v>
      </c>
      <c r="Q56" s="9">
        <f t="shared" ca="1" si="11"/>
        <v>-316</v>
      </c>
      <c r="R56" t="str">
        <f t="shared" ca="1" si="3"/>
        <v>Expired</v>
      </c>
      <c r="S56" s="10">
        <f t="shared" si="4"/>
        <v>0.61988304093567248</v>
      </c>
      <c r="T56">
        <f t="shared" si="5"/>
        <v>3704064</v>
      </c>
      <c r="Z56" t="str">
        <f t="shared" si="9"/>
        <v>No</v>
      </c>
    </row>
    <row r="57" spans="1:26" ht="13.5" customHeight="1" x14ac:dyDescent="0.3">
      <c r="A57" s="2" t="s">
        <v>124</v>
      </c>
      <c r="B57" s="3" t="s">
        <v>125</v>
      </c>
      <c r="C57" s="3" t="s">
        <v>126</v>
      </c>
      <c r="D57" s="3" t="s">
        <v>22</v>
      </c>
      <c r="E57" s="4">
        <v>8903</v>
      </c>
      <c r="F57" s="2">
        <v>349</v>
      </c>
      <c r="G57" s="2">
        <v>47</v>
      </c>
      <c r="H57" s="5">
        <v>45317</v>
      </c>
      <c r="I57" s="5">
        <v>45858</v>
      </c>
      <c r="J57" s="2">
        <v>103</v>
      </c>
      <c r="K57" s="3" t="s">
        <v>28</v>
      </c>
      <c r="L57" s="2">
        <v>98</v>
      </c>
      <c r="M57" s="2" t="s">
        <v>18</v>
      </c>
      <c r="N57" t="str">
        <f t="shared" si="0"/>
        <v>Recorded</v>
      </c>
      <c r="O57" t="str">
        <f t="shared" si="1"/>
        <v>Recorded</v>
      </c>
      <c r="P57" t="str">
        <f t="shared" ca="1" si="2"/>
        <v>Expired</v>
      </c>
      <c r="Q57" s="9">
        <f t="shared" ca="1" si="11"/>
        <v>-354</v>
      </c>
      <c r="R57" t="str">
        <f t="shared" ca="1" si="3"/>
        <v>Expired</v>
      </c>
      <c r="S57" s="10">
        <f t="shared" si="4"/>
        <v>3.3883495145631066</v>
      </c>
      <c r="T57">
        <f t="shared" si="5"/>
        <v>3107147</v>
      </c>
      <c r="Z57" t="str">
        <f t="shared" si="9"/>
        <v>No</v>
      </c>
    </row>
    <row r="58" spans="1:26" ht="13.5" customHeight="1" x14ac:dyDescent="0.3">
      <c r="A58" s="2" t="s">
        <v>127</v>
      </c>
      <c r="B58" s="3" t="s">
        <v>45</v>
      </c>
      <c r="C58" s="3" t="s">
        <v>46</v>
      </c>
      <c r="D58" s="3" t="s">
        <v>43</v>
      </c>
      <c r="E58" s="4">
        <v>28098</v>
      </c>
      <c r="F58" s="2">
        <v>266</v>
      </c>
      <c r="G58" s="2">
        <v>24</v>
      </c>
      <c r="H58" s="5">
        <v>45534</v>
      </c>
      <c r="I58" s="5">
        <v>45903</v>
      </c>
      <c r="J58" s="2">
        <v>174</v>
      </c>
      <c r="K58" s="3" t="s">
        <v>28</v>
      </c>
      <c r="L58" s="2">
        <v>31</v>
      </c>
      <c r="M58" s="2" t="s">
        <v>18</v>
      </c>
      <c r="N58" t="str">
        <f t="shared" si="0"/>
        <v>Recorded</v>
      </c>
      <c r="O58" t="str">
        <f t="shared" si="1"/>
        <v>Recorded</v>
      </c>
      <c r="P58" t="str">
        <f t="shared" ca="1" si="2"/>
        <v>Expired</v>
      </c>
      <c r="Q58" s="9">
        <f t="shared" ca="1" si="11"/>
        <v>-309</v>
      </c>
      <c r="R58" t="str">
        <f t="shared" ca="1" si="3"/>
        <v>Expired</v>
      </c>
      <c r="S58" s="10">
        <f t="shared" si="4"/>
        <v>1.5287356321839081</v>
      </c>
      <c r="T58">
        <f t="shared" si="5"/>
        <v>7474068</v>
      </c>
      <c r="Z58" t="str">
        <f t="shared" si="9"/>
        <v>No</v>
      </c>
    </row>
    <row r="59" spans="1:26" ht="13.5" customHeight="1" x14ac:dyDescent="0.3">
      <c r="A59" s="2" t="s">
        <v>128</v>
      </c>
      <c r="B59" s="3" t="s">
        <v>129</v>
      </c>
      <c r="C59" s="3" t="s">
        <v>130</v>
      </c>
      <c r="D59" s="3" t="s">
        <v>53</v>
      </c>
      <c r="E59" s="4">
        <v>25642</v>
      </c>
      <c r="F59" s="2">
        <v>119</v>
      </c>
      <c r="G59" s="2">
        <v>76</v>
      </c>
      <c r="H59" s="5">
        <v>45310</v>
      </c>
      <c r="I59" s="5">
        <v>46185</v>
      </c>
      <c r="J59" s="2">
        <v>80</v>
      </c>
      <c r="K59" s="3" t="s">
        <v>28</v>
      </c>
      <c r="L59" s="2">
        <v>61</v>
      </c>
      <c r="M59" s="2" t="s">
        <v>18</v>
      </c>
      <c r="N59" t="str">
        <f t="shared" si="0"/>
        <v>Recorded</v>
      </c>
      <c r="O59" t="str">
        <f t="shared" si="1"/>
        <v>Recorded</v>
      </c>
      <c r="P59" t="str">
        <f t="shared" ca="1" si="2"/>
        <v>Expired</v>
      </c>
      <c r="Q59" s="9">
        <f t="shared" ca="1" si="11"/>
        <v>-27</v>
      </c>
      <c r="R59" t="str">
        <f t="shared" ca="1" si="3"/>
        <v>Expired</v>
      </c>
      <c r="S59" s="10">
        <f t="shared" si="4"/>
        <v>1.4875</v>
      </c>
      <c r="T59">
        <f t="shared" si="5"/>
        <v>3051398</v>
      </c>
      <c r="Z59" t="str">
        <f t="shared" si="9"/>
        <v>No</v>
      </c>
    </row>
    <row r="60" spans="1:26" ht="13.5" customHeight="1" x14ac:dyDescent="0.3">
      <c r="A60" s="2" t="s">
        <v>131</v>
      </c>
      <c r="B60" s="3" t="s">
        <v>20</v>
      </c>
      <c r="C60" s="3" t="s">
        <v>21</v>
      </c>
      <c r="D60" s="3" t="s">
        <v>53</v>
      </c>
      <c r="E60" s="4">
        <v>22119</v>
      </c>
      <c r="F60" s="2">
        <v>115</v>
      </c>
      <c r="G60" s="2">
        <v>45</v>
      </c>
      <c r="H60" s="5">
        <v>45502</v>
      </c>
      <c r="I60" s="5">
        <v>46152</v>
      </c>
      <c r="J60" s="2">
        <v>155</v>
      </c>
      <c r="K60" s="3" t="s">
        <v>91</v>
      </c>
      <c r="L60" s="2">
        <v>74</v>
      </c>
      <c r="M60" s="2" t="s">
        <v>18</v>
      </c>
      <c r="N60" t="str">
        <f t="shared" si="0"/>
        <v>Recorded</v>
      </c>
      <c r="O60" t="str">
        <f t="shared" si="1"/>
        <v>Recorded</v>
      </c>
      <c r="P60" t="str">
        <f t="shared" ca="1" si="2"/>
        <v>Expired</v>
      </c>
      <c r="Q60" s="9">
        <f t="shared" ca="1" si="11"/>
        <v>-60</v>
      </c>
      <c r="R60" t="str">
        <f t="shared" ca="1" si="3"/>
        <v>Expired</v>
      </c>
      <c r="S60" s="10">
        <f t="shared" si="4"/>
        <v>0.74193548387096775</v>
      </c>
      <c r="T60">
        <f t="shared" si="5"/>
        <v>2543685</v>
      </c>
      <c r="Z60" t="str">
        <f t="shared" si="9"/>
        <v>No</v>
      </c>
    </row>
    <row r="61" spans="1:26" ht="13.5" customHeight="1" x14ac:dyDescent="0.3">
      <c r="A61" s="2" t="s">
        <v>132</v>
      </c>
      <c r="B61" s="3" t="s">
        <v>61</v>
      </c>
      <c r="C61" s="3" t="s">
        <v>62</v>
      </c>
      <c r="D61" s="3" t="s">
        <v>53</v>
      </c>
      <c r="E61" s="4">
        <v>2823</v>
      </c>
      <c r="F61" s="2">
        <v>56</v>
      </c>
      <c r="G61" s="2">
        <v>26</v>
      </c>
      <c r="H61" s="5">
        <v>45449</v>
      </c>
      <c r="I61" s="5">
        <v>46084</v>
      </c>
      <c r="J61" s="2">
        <v>130</v>
      </c>
      <c r="K61" s="3" t="s">
        <v>36</v>
      </c>
      <c r="L61" s="2">
        <v>49</v>
      </c>
      <c r="M61" s="2" t="s">
        <v>18</v>
      </c>
      <c r="N61" t="str">
        <f t="shared" si="0"/>
        <v>Recorded</v>
      </c>
      <c r="O61" t="str">
        <f t="shared" si="1"/>
        <v>Recorded</v>
      </c>
      <c r="P61" t="str">
        <f t="shared" ca="1" si="2"/>
        <v>Expired</v>
      </c>
      <c r="Q61" s="9">
        <f t="shared" ca="1" si="11"/>
        <v>-128</v>
      </c>
      <c r="R61" t="str">
        <f t="shared" ca="1" si="3"/>
        <v>Expired</v>
      </c>
      <c r="S61" s="10">
        <f t="shared" si="4"/>
        <v>0.43076923076923079</v>
      </c>
      <c r="T61">
        <f t="shared" si="5"/>
        <v>158088</v>
      </c>
      <c r="Z61" t="str">
        <f t="shared" si="9"/>
        <v>No</v>
      </c>
    </row>
    <row r="62" spans="1:26" ht="13.5" customHeight="1" x14ac:dyDescent="0.3">
      <c r="A62" s="2" t="s">
        <v>133</v>
      </c>
      <c r="B62" s="3" t="s">
        <v>42</v>
      </c>
      <c r="C62" s="3" t="s">
        <v>27</v>
      </c>
      <c r="D62" s="3" t="s">
        <v>16</v>
      </c>
      <c r="E62" s="4">
        <v>1022</v>
      </c>
      <c r="F62" s="2">
        <v>30</v>
      </c>
      <c r="G62" s="2">
        <v>65</v>
      </c>
      <c r="H62" s="5">
        <v>45542</v>
      </c>
      <c r="I62" s="5">
        <v>45933</v>
      </c>
      <c r="J62" s="2">
        <v>195</v>
      </c>
      <c r="K62" s="3" t="s">
        <v>17</v>
      </c>
      <c r="L62" s="2">
        <v>7</v>
      </c>
      <c r="M62" s="2" t="s">
        <v>29</v>
      </c>
      <c r="N62" t="str">
        <f t="shared" si="0"/>
        <v>Recorded</v>
      </c>
      <c r="O62" t="str">
        <f t="shared" si="1"/>
        <v>Recorded</v>
      </c>
      <c r="P62" t="str">
        <f t="shared" ca="1" si="2"/>
        <v>Expired</v>
      </c>
      <c r="Q62" s="9">
        <f t="shared" ca="1" si="11"/>
        <v>-279</v>
      </c>
      <c r="R62" t="str">
        <f t="shared" ca="1" si="3"/>
        <v>Expired</v>
      </c>
      <c r="S62" s="10">
        <f t="shared" si="4"/>
        <v>0.15384615384615385</v>
      </c>
      <c r="T62">
        <f t="shared" si="5"/>
        <v>30660</v>
      </c>
      <c r="Z62" t="str">
        <f t="shared" si="9"/>
        <v>Yes</v>
      </c>
    </row>
    <row r="63" spans="1:26" ht="13.5" customHeight="1" x14ac:dyDescent="0.3">
      <c r="A63" s="2" t="s">
        <v>134</v>
      </c>
      <c r="B63" s="3" t="s">
        <v>73</v>
      </c>
      <c r="C63" s="3" t="s">
        <v>40</v>
      </c>
      <c r="D63" s="3" t="s">
        <v>50</v>
      </c>
      <c r="E63" s="4">
        <v>32712</v>
      </c>
      <c r="F63" s="2">
        <v>99</v>
      </c>
      <c r="G63" s="2">
        <v>26</v>
      </c>
      <c r="H63" s="5">
        <v>45587</v>
      </c>
      <c r="I63" s="5">
        <v>45997</v>
      </c>
      <c r="J63" s="2">
        <v>21</v>
      </c>
      <c r="K63" s="3" t="s">
        <v>28</v>
      </c>
      <c r="L63" s="2">
        <v>2</v>
      </c>
      <c r="M63" s="2" t="s">
        <v>18</v>
      </c>
      <c r="N63" t="str">
        <f t="shared" si="0"/>
        <v>Recorded</v>
      </c>
      <c r="O63" t="str">
        <f t="shared" si="1"/>
        <v>Recorded</v>
      </c>
      <c r="P63" t="str">
        <f t="shared" ca="1" si="2"/>
        <v>Expired</v>
      </c>
      <c r="Q63" s="9">
        <f t="shared" ca="1" si="11"/>
        <v>-215</v>
      </c>
      <c r="R63" t="str">
        <f t="shared" ca="1" si="3"/>
        <v>Expired</v>
      </c>
      <c r="S63" s="10">
        <f t="shared" si="4"/>
        <v>4.7142857142857144</v>
      </c>
      <c r="T63">
        <f t="shared" si="5"/>
        <v>3238488</v>
      </c>
      <c r="Z63" t="str">
        <f t="shared" si="9"/>
        <v>No</v>
      </c>
    </row>
    <row r="64" spans="1:26" ht="13.5" customHeight="1" x14ac:dyDescent="0.3">
      <c r="A64" s="2" t="s">
        <v>135</v>
      </c>
      <c r="B64" s="3" t="s">
        <v>125</v>
      </c>
      <c r="C64" s="3" t="s">
        <v>126</v>
      </c>
      <c r="D64" s="3" t="s">
        <v>43</v>
      </c>
      <c r="E64" s="4">
        <v>36494</v>
      </c>
      <c r="F64" s="2">
        <v>197</v>
      </c>
      <c r="G64" s="2">
        <v>60</v>
      </c>
      <c r="H64" s="5">
        <v>45400</v>
      </c>
      <c r="I64" s="5">
        <v>45704</v>
      </c>
      <c r="J64" s="2">
        <v>50</v>
      </c>
      <c r="K64" s="3" t="s">
        <v>17</v>
      </c>
      <c r="L64" s="2">
        <v>44</v>
      </c>
      <c r="M64" s="2" t="s">
        <v>18</v>
      </c>
      <c r="N64" t="str">
        <f t="shared" si="0"/>
        <v>Recorded</v>
      </c>
      <c r="O64" t="str">
        <f t="shared" si="1"/>
        <v>Recorded</v>
      </c>
      <c r="P64" t="str">
        <f t="shared" ca="1" si="2"/>
        <v>Expired</v>
      </c>
      <c r="Q64" s="9">
        <f t="shared" ca="1" si="11"/>
        <v>-508</v>
      </c>
      <c r="R64" t="str">
        <f t="shared" ca="1" si="3"/>
        <v>Expired</v>
      </c>
      <c r="S64" s="10">
        <f t="shared" si="4"/>
        <v>3.94</v>
      </c>
      <c r="T64">
        <f t="shared" si="5"/>
        <v>7189318</v>
      </c>
      <c r="Z64" t="str">
        <f t="shared" si="9"/>
        <v>No</v>
      </c>
    </row>
    <row r="65" spans="1:26" ht="13.5" customHeight="1" x14ac:dyDescent="0.3">
      <c r="A65" s="2" t="s">
        <v>136</v>
      </c>
      <c r="B65" s="3" t="s">
        <v>20</v>
      </c>
      <c r="C65" s="3" t="s">
        <v>21</v>
      </c>
      <c r="D65" s="3" t="s">
        <v>16</v>
      </c>
      <c r="E65" s="4">
        <v>35406</v>
      </c>
      <c r="F65" s="2"/>
      <c r="G65" s="2">
        <v>71</v>
      </c>
      <c r="H65" s="5">
        <v>45292</v>
      </c>
      <c r="I65" s="5">
        <v>46282</v>
      </c>
      <c r="J65" s="2">
        <v>42</v>
      </c>
      <c r="K65" s="3" t="s">
        <v>17</v>
      </c>
      <c r="L65" s="2">
        <v>27</v>
      </c>
      <c r="M65" s="2" t="s">
        <v>18</v>
      </c>
      <c r="N65" t="str">
        <f t="shared" si="0"/>
        <v>Recorded</v>
      </c>
      <c r="O65" t="str">
        <f t="shared" si="1"/>
        <v>Missing</v>
      </c>
      <c r="P65" t="str">
        <f t="shared" ca="1" si="2"/>
        <v>Active</v>
      </c>
      <c r="Q65" s="9">
        <f t="shared" ca="1" si="11"/>
        <v>70</v>
      </c>
      <c r="R65" t="str">
        <f t="shared" ca="1" si="3"/>
        <v>Expiring Soon</v>
      </c>
      <c r="S65" s="10">
        <f t="shared" si="4"/>
        <v>0</v>
      </c>
      <c r="T65">
        <f t="shared" si="5"/>
        <v>0</v>
      </c>
      <c r="Z65" t="str">
        <f t="shared" si="9"/>
        <v>Yes</v>
      </c>
    </row>
    <row r="66" spans="1:26" ht="13.5" customHeight="1" x14ac:dyDescent="0.3">
      <c r="A66" s="2" t="s">
        <v>137</v>
      </c>
      <c r="B66" s="3" t="s">
        <v>61</v>
      </c>
      <c r="C66" s="3" t="s">
        <v>62</v>
      </c>
      <c r="D66" s="3" t="s">
        <v>43</v>
      </c>
      <c r="E66" s="4">
        <v>32273</v>
      </c>
      <c r="F66" s="2">
        <v>106</v>
      </c>
      <c r="G66" s="2">
        <v>72</v>
      </c>
      <c r="H66" s="5">
        <v>45509</v>
      </c>
      <c r="I66" s="5">
        <v>46238</v>
      </c>
      <c r="J66" s="2">
        <v>84</v>
      </c>
      <c r="K66" s="3" t="s">
        <v>28</v>
      </c>
      <c r="L66" s="2">
        <v>44</v>
      </c>
      <c r="M66" s="2" t="s">
        <v>18</v>
      </c>
      <c r="N66" t="str">
        <f t="shared" si="0"/>
        <v>Recorded</v>
      </c>
      <c r="O66" t="str">
        <f t="shared" si="1"/>
        <v>Recorded</v>
      </c>
      <c r="P66" t="str">
        <f t="shared" ca="1" si="2"/>
        <v>Active</v>
      </c>
      <c r="Q66" s="9">
        <f t="shared" ca="1" si="11"/>
        <v>26</v>
      </c>
      <c r="R66" t="str">
        <f t="shared" ca="1" si="3"/>
        <v>Expiring Soon</v>
      </c>
      <c r="S66" s="10">
        <f t="shared" si="4"/>
        <v>1.2619047619047619</v>
      </c>
      <c r="T66">
        <f t="shared" si="5"/>
        <v>3420938</v>
      </c>
      <c r="Z66" t="str">
        <f t="shared" si="9"/>
        <v>No</v>
      </c>
    </row>
    <row r="67" spans="1:26" ht="13.5" customHeight="1" x14ac:dyDescent="0.3">
      <c r="A67" s="2" t="s">
        <v>138</v>
      </c>
      <c r="B67" s="3" t="s">
        <v>14</v>
      </c>
      <c r="C67" s="3" t="s">
        <v>15</v>
      </c>
      <c r="D67" s="3" t="s">
        <v>22</v>
      </c>
      <c r="E67" s="4">
        <v>14223</v>
      </c>
      <c r="F67" s="2">
        <v>65</v>
      </c>
      <c r="G67" s="2">
        <v>31</v>
      </c>
      <c r="H67" s="5">
        <v>45587</v>
      </c>
      <c r="I67" s="5">
        <v>45870</v>
      </c>
      <c r="J67" s="2">
        <v>74</v>
      </c>
      <c r="K67" s="3" t="s">
        <v>23</v>
      </c>
      <c r="L67" s="2">
        <v>64</v>
      </c>
      <c r="M67" s="2" t="s">
        <v>18</v>
      </c>
      <c r="N67" t="str">
        <f t="shared" ref="N67:N130" si="12">IF(E67 ="","Missing","Recorded")</f>
        <v>Recorded</v>
      </c>
      <c r="O67" t="str">
        <f t="shared" ref="O67:O130" si="13">IF(F67 ="","Missing","Recorded")</f>
        <v>Recorded</v>
      </c>
      <c r="P67" t="str">
        <f t="shared" ref="P67:P130" ca="1" si="14">IF(I67&lt;TODAY(),"Expired","Active")</f>
        <v>Expired</v>
      </c>
      <c r="Q67" s="9">
        <f t="shared" ref="Q67:Q130" ca="1" si="15">I67-TODAY()</f>
        <v>-342</v>
      </c>
      <c r="R67" t="str">
        <f t="shared" ref="R67:R130" ca="1" si="16">IF(Q67&lt;0,"Expired",IF(Q67&lt;=90,"Expiring Soon","OK"))</f>
        <v>Expired</v>
      </c>
      <c r="S67" s="10">
        <f t="shared" ref="S67:S130" si="17">IFERROR(F67/J67,"N/A")</f>
        <v>0.8783783783783784</v>
      </c>
      <c r="T67">
        <f t="shared" ref="T67:T130" si="18">IFERROR(E67*F67,0)</f>
        <v>924495</v>
      </c>
      <c r="Z67" t="str">
        <f t="shared" ref="Z67:Z130" si="19">IF(F67&lt;G67,"Yes","No")</f>
        <v>No</v>
      </c>
    </row>
    <row r="68" spans="1:26" ht="13.5" customHeight="1" x14ac:dyDescent="0.3">
      <c r="A68" s="2" t="s">
        <v>139</v>
      </c>
      <c r="B68" s="3" t="s">
        <v>79</v>
      </c>
      <c r="C68" s="3" t="s">
        <v>15</v>
      </c>
      <c r="D68" s="3" t="s">
        <v>22</v>
      </c>
      <c r="E68" s="4">
        <v>33825</v>
      </c>
      <c r="F68" s="2">
        <v>192</v>
      </c>
      <c r="G68" s="2">
        <v>29</v>
      </c>
      <c r="H68" s="5">
        <v>45316</v>
      </c>
      <c r="I68" s="5">
        <v>46059</v>
      </c>
      <c r="J68" s="2">
        <v>33</v>
      </c>
      <c r="K68" s="3" t="s">
        <v>23</v>
      </c>
      <c r="L68" s="2">
        <v>29</v>
      </c>
      <c r="M68" s="2" t="s">
        <v>18</v>
      </c>
      <c r="N68" t="str">
        <f t="shared" si="12"/>
        <v>Recorded</v>
      </c>
      <c r="O68" t="str">
        <f t="shared" si="13"/>
        <v>Recorded</v>
      </c>
      <c r="P68" t="str">
        <f t="shared" ca="1" si="14"/>
        <v>Expired</v>
      </c>
      <c r="Q68" s="9">
        <f t="shared" ca="1" si="15"/>
        <v>-153</v>
      </c>
      <c r="R68" t="str">
        <f t="shared" ca="1" si="16"/>
        <v>Expired</v>
      </c>
      <c r="S68" s="10">
        <f t="shared" si="17"/>
        <v>5.8181818181818183</v>
      </c>
      <c r="T68">
        <f t="shared" si="18"/>
        <v>6494400</v>
      </c>
      <c r="Z68" t="str">
        <f t="shared" si="19"/>
        <v>No</v>
      </c>
    </row>
    <row r="69" spans="1:26" ht="13.5" customHeight="1" x14ac:dyDescent="0.3">
      <c r="A69" s="2" t="s">
        <v>140</v>
      </c>
      <c r="B69" s="3" t="s">
        <v>106</v>
      </c>
      <c r="C69" s="3" t="s">
        <v>49</v>
      </c>
      <c r="D69" s="3" t="s">
        <v>22</v>
      </c>
      <c r="E69" s="4">
        <v>23500</v>
      </c>
      <c r="F69" s="2">
        <v>195</v>
      </c>
      <c r="G69" s="2">
        <v>56</v>
      </c>
      <c r="H69" s="5">
        <v>45584</v>
      </c>
      <c r="I69" s="5">
        <v>46273</v>
      </c>
      <c r="J69" s="2">
        <v>141</v>
      </c>
      <c r="K69" s="3" t="s">
        <v>17</v>
      </c>
      <c r="L69" s="2">
        <v>105</v>
      </c>
      <c r="M69" s="2" t="s">
        <v>251</v>
      </c>
      <c r="N69" t="str">
        <f t="shared" si="12"/>
        <v>Recorded</v>
      </c>
      <c r="O69" t="str">
        <f t="shared" si="13"/>
        <v>Recorded</v>
      </c>
      <c r="P69" t="str">
        <f t="shared" ca="1" si="14"/>
        <v>Active</v>
      </c>
      <c r="Q69" s="9">
        <f t="shared" ca="1" si="15"/>
        <v>61</v>
      </c>
      <c r="R69" t="str">
        <f t="shared" ca="1" si="16"/>
        <v>Expiring Soon</v>
      </c>
      <c r="S69" s="10">
        <f t="shared" si="17"/>
        <v>1.3829787234042554</v>
      </c>
      <c r="T69">
        <f t="shared" si="18"/>
        <v>4582500</v>
      </c>
      <c r="Z69" t="str">
        <f t="shared" si="19"/>
        <v>No</v>
      </c>
    </row>
    <row r="70" spans="1:26" ht="13.5" customHeight="1" x14ac:dyDescent="0.3">
      <c r="A70" s="2" t="s">
        <v>141</v>
      </c>
      <c r="B70" s="3" t="s">
        <v>84</v>
      </c>
      <c r="C70" s="3" t="s">
        <v>27</v>
      </c>
      <c r="D70" s="3" t="s">
        <v>43</v>
      </c>
      <c r="E70" s="4">
        <v>6097</v>
      </c>
      <c r="F70" s="2">
        <v>490</v>
      </c>
      <c r="G70" s="2">
        <v>60</v>
      </c>
      <c r="H70" s="5">
        <v>45525</v>
      </c>
      <c r="I70" s="5">
        <v>46125</v>
      </c>
      <c r="J70" s="2">
        <v>148</v>
      </c>
      <c r="K70" s="3" t="s">
        <v>23</v>
      </c>
      <c r="L70" s="2">
        <v>70</v>
      </c>
      <c r="M70" s="2" t="s">
        <v>29</v>
      </c>
      <c r="N70" t="str">
        <f t="shared" si="12"/>
        <v>Recorded</v>
      </c>
      <c r="O70" t="str">
        <f t="shared" si="13"/>
        <v>Recorded</v>
      </c>
      <c r="P70" t="str">
        <f t="shared" ca="1" si="14"/>
        <v>Expired</v>
      </c>
      <c r="Q70" s="9">
        <f t="shared" ca="1" si="15"/>
        <v>-87</v>
      </c>
      <c r="R70" t="str">
        <f t="shared" ca="1" si="16"/>
        <v>Expired</v>
      </c>
      <c r="S70" s="10">
        <f t="shared" si="17"/>
        <v>3.310810810810811</v>
      </c>
      <c r="T70">
        <f t="shared" si="18"/>
        <v>2987530</v>
      </c>
      <c r="Z70" t="str">
        <f t="shared" si="19"/>
        <v>No</v>
      </c>
    </row>
    <row r="71" spans="1:26" ht="13.5" customHeight="1" x14ac:dyDescent="0.3">
      <c r="A71" s="2" t="s">
        <v>142</v>
      </c>
      <c r="B71" s="3" t="s">
        <v>31</v>
      </c>
      <c r="C71" s="3" t="s">
        <v>27</v>
      </c>
      <c r="D71" s="3" t="s">
        <v>16</v>
      </c>
      <c r="E71" s="4">
        <v>25600</v>
      </c>
      <c r="F71" s="2">
        <v>148</v>
      </c>
      <c r="G71" s="2">
        <v>22</v>
      </c>
      <c r="H71" s="5">
        <v>45469</v>
      </c>
      <c r="I71" s="5">
        <v>46057</v>
      </c>
      <c r="J71" s="2">
        <v>135</v>
      </c>
      <c r="K71" s="3" t="s">
        <v>36</v>
      </c>
      <c r="L71" s="2">
        <v>113</v>
      </c>
      <c r="M71" s="2" t="s">
        <v>18</v>
      </c>
      <c r="N71" t="str">
        <f t="shared" si="12"/>
        <v>Recorded</v>
      </c>
      <c r="O71" t="str">
        <f t="shared" si="13"/>
        <v>Recorded</v>
      </c>
      <c r="P71" t="str">
        <f t="shared" ca="1" si="14"/>
        <v>Expired</v>
      </c>
      <c r="Q71" s="9">
        <f t="shared" ca="1" si="15"/>
        <v>-155</v>
      </c>
      <c r="R71" t="str">
        <f t="shared" ca="1" si="16"/>
        <v>Expired</v>
      </c>
      <c r="S71" s="10">
        <f t="shared" si="17"/>
        <v>1.0962962962962963</v>
      </c>
      <c r="T71">
        <f t="shared" si="18"/>
        <v>3788800</v>
      </c>
      <c r="Z71" t="str">
        <f t="shared" si="19"/>
        <v>No</v>
      </c>
    </row>
    <row r="72" spans="1:26" ht="13.5" customHeight="1" x14ac:dyDescent="0.3">
      <c r="A72" s="2" t="s">
        <v>143</v>
      </c>
      <c r="B72" s="3" t="s">
        <v>125</v>
      </c>
      <c r="C72" s="3" t="s">
        <v>126</v>
      </c>
      <c r="D72" s="3" t="s">
        <v>53</v>
      </c>
      <c r="E72" s="4">
        <v>30261</v>
      </c>
      <c r="F72" s="2">
        <v>134</v>
      </c>
      <c r="G72" s="2">
        <v>58</v>
      </c>
      <c r="H72" s="5">
        <v>45435</v>
      </c>
      <c r="I72" s="5">
        <v>45821</v>
      </c>
      <c r="J72" s="2">
        <v>157</v>
      </c>
      <c r="K72" s="3" t="s">
        <v>36</v>
      </c>
      <c r="L72" s="2">
        <v>125</v>
      </c>
      <c r="M72" s="2" t="s">
        <v>18</v>
      </c>
      <c r="N72" t="str">
        <f t="shared" si="12"/>
        <v>Recorded</v>
      </c>
      <c r="O72" t="str">
        <f t="shared" si="13"/>
        <v>Recorded</v>
      </c>
      <c r="P72" t="str">
        <f t="shared" ca="1" si="14"/>
        <v>Expired</v>
      </c>
      <c r="Q72" s="9">
        <f t="shared" ca="1" si="15"/>
        <v>-391</v>
      </c>
      <c r="R72" t="str">
        <f t="shared" ca="1" si="16"/>
        <v>Expired</v>
      </c>
      <c r="S72" s="10">
        <f t="shared" si="17"/>
        <v>0.85350318471337583</v>
      </c>
      <c r="T72">
        <f t="shared" si="18"/>
        <v>4054974</v>
      </c>
      <c r="Z72" t="str">
        <f t="shared" si="19"/>
        <v>No</v>
      </c>
    </row>
    <row r="73" spans="1:26" ht="13.5" customHeight="1" x14ac:dyDescent="0.3">
      <c r="A73" s="2" t="s">
        <v>144</v>
      </c>
      <c r="B73" s="3" t="s">
        <v>79</v>
      </c>
      <c r="C73" s="3" t="s">
        <v>15</v>
      </c>
      <c r="D73" s="3" t="s">
        <v>22</v>
      </c>
      <c r="E73" s="4">
        <v>15578</v>
      </c>
      <c r="F73" s="2">
        <v>468</v>
      </c>
      <c r="G73" s="2">
        <v>52</v>
      </c>
      <c r="H73" s="5">
        <v>45298</v>
      </c>
      <c r="I73" s="5">
        <v>45839</v>
      </c>
      <c r="J73" s="2">
        <v>129</v>
      </c>
      <c r="K73" s="3" t="s">
        <v>36</v>
      </c>
      <c r="L73" s="2">
        <v>90</v>
      </c>
      <c r="M73" s="2" t="s">
        <v>18</v>
      </c>
      <c r="N73" t="str">
        <f t="shared" si="12"/>
        <v>Recorded</v>
      </c>
      <c r="O73" t="str">
        <f t="shared" si="13"/>
        <v>Recorded</v>
      </c>
      <c r="P73" t="str">
        <f t="shared" ca="1" si="14"/>
        <v>Expired</v>
      </c>
      <c r="Q73" s="9">
        <f t="shared" ca="1" si="15"/>
        <v>-373</v>
      </c>
      <c r="R73" t="str">
        <f t="shared" ca="1" si="16"/>
        <v>Expired</v>
      </c>
      <c r="S73" s="10">
        <f t="shared" si="17"/>
        <v>3.6279069767441858</v>
      </c>
      <c r="T73">
        <f t="shared" si="18"/>
        <v>7290504</v>
      </c>
      <c r="Z73" t="str">
        <f t="shared" si="19"/>
        <v>No</v>
      </c>
    </row>
    <row r="74" spans="1:26" ht="13.5" customHeight="1" x14ac:dyDescent="0.3">
      <c r="A74" s="2" t="s">
        <v>145</v>
      </c>
      <c r="B74" s="3" t="s">
        <v>111</v>
      </c>
      <c r="C74" s="3" t="s">
        <v>62</v>
      </c>
      <c r="D74" s="3" t="s">
        <v>43</v>
      </c>
      <c r="E74" s="4">
        <v>35969</v>
      </c>
      <c r="F74" s="2">
        <v>157</v>
      </c>
      <c r="G74" s="2">
        <v>64</v>
      </c>
      <c r="H74" s="5">
        <v>45463</v>
      </c>
      <c r="I74" s="5">
        <v>46309</v>
      </c>
      <c r="J74" s="2">
        <v>79</v>
      </c>
      <c r="K74" s="3" t="s">
        <v>23</v>
      </c>
      <c r="L74" s="2">
        <v>22</v>
      </c>
      <c r="M74" s="2" t="s">
        <v>18</v>
      </c>
      <c r="N74" t="str">
        <f t="shared" si="12"/>
        <v>Recorded</v>
      </c>
      <c r="O74" t="str">
        <f t="shared" si="13"/>
        <v>Recorded</v>
      </c>
      <c r="P74" t="str">
        <f t="shared" ca="1" si="14"/>
        <v>Active</v>
      </c>
      <c r="Q74" s="9">
        <f t="shared" ca="1" si="15"/>
        <v>97</v>
      </c>
      <c r="R74" t="str">
        <f t="shared" ca="1" si="16"/>
        <v>OK</v>
      </c>
      <c r="S74" s="10">
        <f t="shared" si="17"/>
        <v>1.9873417721518987</v>
      </c>
      <c r="T74">
        <f t="shared" si="18"/>
        <v>5647133</v>
      </c>
      <c r="Z74" t="str">
        <f t="shared" si="19"/>
        <v>No</v>
      </c>
    </row>
    <row r="75" spans="1:26" ht="13.5" customHeight="1" x14ac:dyDescent="0.3">
      <c r="A75" s="2" t="s">
        <v>146</v>
      </c>
      <c r="B75" s="3" t="s">
        <v>147</v>
      </c>
      <c r="C75" s="3" t="s">
        <v>103</v>
      </c>
      <c r="D75" s="3" t="s">
        <v>22</v>
      </c>
      <c r="E75" s="4">
        <v>23639</v>
      </c>
      <c r="F75" s="2">
        <v>187</v>
      </c>
      <c r="G75" s="2">
        <v>28</v>
      </c>
      <c r="H75" s="5">
        <v>45368</v>
      </c>
      <c r="I75" s="5">
        <v>45935</v>
      </c>
      <c r="J75" s="2">
        <v>80</v>
      </c>
      <c r="K75" s="3" t="s">
        <v>91</v>
      </c>
      <c r="L75" s="2">
        <v>41</v>
      </c>
      <c r="M75" s="2" t="s">
        <v>18</v>
      </c>
      <c r="N75" t="str">
        <f t="shared" si="12"/>
        <v>Recorded</v>
      </c>
      <c r="O75" t="str">
        <f t="shared" si="13"/>
        <v>Recorded</v>
      </c>
      <c r="P75" t="str">
        <f t="shared" ca="1" si="14"/>
        <v>Expired</v>
      </c>
      <c r="Q75" s="9">
        <f t="shared" ca="1" si="15"/>
        <v>-277</v>
      </c>
      <c r="R75" t="str">
        <f t="shared" ca="1" si="16"/>
        <v>Expired</v>
      </c>
      <c r="S75" s="10">
        <f t="shared" si="17"/>
        <v>2.3374999999999999</v>
      </c>
      <c r="T75">
        <f t="shared" si="18"/>
        <v>4420493</v>
      </c>
      <c r="Z75" t="str">
        <f t="shared" si="19"/>
        <v>No</v>
      </c>
    </row>
    <row r="76" spans="1:26" ht="13.5" customHeight="1" x14ac:dyDescent="0.3">
      <c r="A76" s="2" t="s">
        <v>148</v>
      </c>
      <c r="B76" s="3" t="s">
        <v>56</v>
      </c>
      <c r="C76" s="3" t="s">
        <v>27</v>
      </c>
      <c r="D76" s="3" t="s">
        <v>22</v>
      </c>
      <c r="E76" s="4">
        <v>5424</v>
      </c>
      <c r="F76" s="2">
        <v>1</v>
      </c>
      <c r="G76" s="2">
        <v>39</v>
      </c>
      <c r="H76" s="5">
        <v>45318</v>
      </c>
      <c r="I76" s="5">
        <v>45864</v>
      </c>
      <c r="J76" s="2">
        <v>39</v>
      </c>
      <c r="K76" s="3" t="s">
        <v>91</v>
      </c>
      <c r="L76" s="2">
        <v>10</v>
      </c>
      <c r="M76" s="2" t="s">
        <v>32</v>
      </c>
      <c r="N76" t="str">
        <f t="shared" si="12"/>
        <v>Recorded</v>
      </c>
      <c r="O76" t="str">
        <f t="shared" si="13"/>
        <v>Recorded</v>
      </c>
      <c r="P76" t="str">
        <f t="shared" ca="1" si="14"/>
        <v>Expired</v>
      </c>
      <c r="Q76" s="9">
        <f t="shared" ca="1" si="15"/>
        <v>-348</v>
      </c>
      <c r="R76" t="str">
        <f t="shared" ca="1" si="16"/>
        <v>Expired</v>
      </c>
      <c r="S76" s="10">
        <f t="shared" si="17"/>
        <v>2.564102564102564E-2</v>
      </c>
      <c r="T76">
        <f t="shared" si="18"/>
        <v>5424</v>
      </c>
      <c r="Z76" t="str">
        <f t="shared" si="19"/>
        <v>Yes</v>
      </c>
    </row>
    <row r="77" spans="1:26" ht="13.5" customHeight="1" x14ac:dyDescent="0.3">
      <c r="A77" s="2" t="s">
        <v>149</v>
      </c>
      <c r="B77" s="3" t="s">
        <v>59</v>
      </c>
      <c r="C77" s="3" t="s">
        <v>40</v>
      </c>
      <c r="D77" s="3" t="s">
        <v>50</v>
      </c>
      <c r="E77" s="4">
        <v>34486</v>
      </c>
      <c r="F77" s="2">
        <v>262</v>
      </c>
      <c r="G77" s="2">
        <v>69</v>
      </c>
      <c r="H77" s="5">
        <v>45294</v>
      </c>
      <c r="I77" s="5">
        <v>45349</v>
      </c>
      <c r="J77" s="2">
        <v>185</v>
      </c>
      <c r="K77" s="3" t="s">
        <v>23</v>
      </c>
      <c r="L77" s="2">
        <v>119</v>
      </c>
      <c r="M77" s="2" t="s">
        <v>29</v>
      </c>
      <c r="N77" t="str">
        <f t="shared" si="12"/>
        <v>Recorded</v>
      </c>
      <c r="O77" t="str">
        <f t="shared" si="13"/>
        <v>Recorded</v>
      </c>
      <c r="P77" t="str">
        <f t="shared" ca="1" si="14"/>
        <v>Expired</v>
      </c>
      <c r="Q77" s="9">
        <f t="shared" ca="1" si="15"/>
        <v>-863</v>
      </c>
      <c r="R77" t="str">
        <f t="shared" ca="1" si="16"/>
        <v>Expired</v>
      </c>
      <c r="S77" s="10">
        <f t="shared" si="17"/>
        <v>1.4162162162162162</v>
      </c>
      <c r="T77">
        <f t="shared" si="18"/>
        <v>9035332</v>
      </c>
      <c r="Z77" t="str">
        <f t="shared" si="19"/>
        <v>No</v>
      </c>
    </row>
    <row r="78" spans="1:26" ht="13.5" customHeight="1" x14ac:dyDescent="0.3">
      <c r="A78" s="2" t="s">
        <v>150</v>
      </c>
      <c r="B78" s="3" t="s">
        <v>106</v>
      </c>
      <c r="C78" s="3" t="s">
        <v>49</v>
      </c>
      <c r="D78" s="3" t="s">
        <v>50</v>
      </c>
      <c r="E78" s="4">
        <v>19460</v>
      </c>
      <c r="F78" s="2">
        <v>15</v>
      </c>
      <c r="G78" s="2">
        <v>47</v>
      </c>
      <c r="H78" s="5">
        <v>45356</v>
      </c>
      <c r="I78" s="5">
        <v>46311</v>
      </c>
      <c r="J78" s="2">
        <v>13</v>
      </c>
      <c r="K78" s="3" t="s">
        <v>36</v>
      </c>
      <c r="L78" s="2">
        <v>4</v>
      </c>
      <c r="M78" s="2" t="s">
        <v>32</v>
      </c>
      <c r="N78" t="str">
        <f t="shared" si="12"/>
        <v>Recorded</v>
      </c>
      <c r="O78" t="str">
        <f t="shared" si="13"/>
        <v>Recorded</v>
      </c>
      <c r="P78" t="str">
        <f t="shared" ca="1" si="14"/>
        <v>Active</v>
      </c>
      <c r="Q78" s="9">
        <f t="shared" ca="1" si="15"/>
        <v>99</v>
      </c>
      <c r="R78" t="str">
        <f t="shared" ca="1" si="16"/>
        <v>OK</v>
      </c>
      <c r="S78" s="10">
        <f t="shared" si="17"/>
        <v>1.1538461538461537</v>
      </c>
      <c r="T78">
        <f t="shared" si="18"/>
        <v>291900</v>
      </c>
      <c r="Z78" t="str">
        <f t="shared" si="19"/>
        <v>Yes</v>
      </c>
    </row>
    <row r="79" spans="1:26" ht="13.5" customHeight="1" x14ac:dyDescent="0.3">
      <c r="A79" s="2" t="s">
        <v>151</v>
      </c>
      <c r="B79" s="3" t="s">
        <v>56</v>
      </c>
      <c r="C79" s="3" t="s">
        <v>27</v>
      </c>
      <c r="D79" s="3" t="s">
        <v>22</v>
      </c>
      <c r="E79" s="4">
        <v>26966</v>
      </c>
      <c r="F79" s="2">
        <v>133</v>
      </c>
      <c r="G79" s="2">
        <v>29</v>
      </c>
      <c r="H79" s="5">
        <v>45528</v>
      </c>
      <c r="I79" s="5">
        <v>46237</v>
      </c>
      <c r="J79" s="2">
        <v>128</v>
      </c>
      <c r="K79" s="3" t="s">
        <v>36</v>
      </c>
      <c r="L79" s="2">
        <v>49</v>
      </c>
      <c r="M79" s="2" t="s">
        <v>18</v>
      </c>
      <c r="N79" t="str">
        <f t="shared" si="12"/>
        <v>Recorded</v>
      </c>
      <c r="O79" t="str">
        <f t="shared" si="13"/>
        <v>Recorded</v>
      </c>
      <c r="P79" t="str">
        <f t="shared" ca="1" si="14"/>
        <v>Active</v>
      </c>
      <c r="Q79" s="9">
        <f t="shared" ca="1" si="15"/>
        <v>25</v>
      </c>
      <c r="R79" t="str">
        <f t="shared" ca="1" si="16"/>
        <v>Expiring Soon</v>
      </c>
      <c r="S79" s="10">
        <f t="shared" si="17"/>
        <v>1.0390625</v>
      </c>
      <c r="T79">
        <f t="shared" si="18"/>
        <v>3586478</v>
      </c>
      <c r="Z79" t="str">
        <f t="shared" si="19"/>
        <v>No</v>
      </c>
    </row>
    <row r="80" spans="1:26" ht="13.5" customHeight="1" x14ac:dyDescent="0.3">
      <c r="A80" s="2" t="s">
        <v>152</v>
      </c>
      <c r="B80" s="3" t="s">
        <v>65</v>
      </c>
      <c r="C80" s="3" t="s">
        <v>66</v>
      </c>
      <c r="D80" s="3" t="s">
        <v>16</v>
      </c>
      <c r="E80" s="4">
        <v>42078</v>
      </c>
      <c r="F80" s="2">
        <v>18</v>
      </c>
      <c r="G80" s="2">
        <v>68</v>
      </c>
      <c r="H80" s="5">
        <v>45472</v>
      </c>
      <c r="I80" s="5">
        <v>46215</v>
      </c>
      <c r="J80" s="2">
        <v>123</v>
      </c>
      <c r="K80" s="3" t="s">
        <v>91</v>
      </c>
      <c r="L80" s="2">
        <v>35</v>
      </c>
      <c r="M80" s="2" t="s">
        <v>32</v>
      </c>
      <c r="N80" t="str">
        <f t="shared" si="12"/>
        <v>Recorded</v>
      </c>
      <c r="O80" t="str">
        <f t="shared" si="13"/>
        <v>Recorded</v>
      </c>
      <c r="P80" t="str">
        <f t="shared" ca="1" si="14"/>
        <v>Active</v>
      </c>
      <c r="Q80" s="9">
        <f t="shared" ca="1" si="15"/>
        <v>3</v>
      </c>
      <c r="R80" t="str">
        <f t="shared" ca="1" si="16"/>
        <v>Expiring Soon</v>
      </c>
      <c r="S80" s="10">
        <f t="shared" si="17"/>
        <v>0.14634146341463414</v>
      </c>
      <c r="T80">
        <f t="shared" si="18"/>
        <v>757404</v>
      </c>
      <c r="Z80" t="str">
        <f t="shared" si="19"/>
        <v>Yes</v>
      </c>
    </row>
    <row r="81" spans="1:26" ht="13.5" customHeight="1" x14ac:dyDescent="0.3">
      <c r="A81" s="2" t="s">
        <v>153</v>
      </c>
      <c r="B81" s="3" t="s">
        <v>102</v>
      </c>
      <c r="C81" s="3" t="s">
        <v>103</v>
      </c>
      <c r="D81" s="3" t="s">
        <v>53</v>
      </c>
      <c r="E81" s="4">
        <v>31020</v>
      </c>
      <c r="F81" s="2"/>
      <c r="G81" s="2">
        <v>61</v>
      </c>
      <c r="H81" s="5">
        <v>45376</v>
      </c>
      <c r="I81" s="5">
        <v>45726</v>
      </c>
      <c r="J81" s="2">
        <v>84</v>
      </c>
      <c r="K81" s="3" t="s">
        <v>28</v>
      </c>
      <c r="L81" s="2">
        <v>23</v>
      </c>
      <c r="M81" s="2" t="s">
        <v>32</v>
      </c>
      <c r="N81" t="str">
        <f t="shared" si="12"/>
        <v>Recorded</v>
      </c>
      <c r="O81" t="str">
        <f t="shared" si="13"/>
        <v>Missing</v>
      </c>
      <c r="P81" t="str">
        <f t="shared" ca="1" si="14"/>
        <v>Expired</v>
      </c>
      <c r="Q81" s="9">
        <f t="shared" ca="1" si="15"/>
        <v>-486</v>
      </c>
      <c r="R81" t="str">
        <f t="shared" ca="1" si="16"/>
        <v>Expired</v>
      </c>
      <c r="S81" s="10">
        <f t="shared" si="17"/>
        <v>0</v>
      </c>
      <c r="T81">
        <f t="shared" si="18"/>
        <v>0</v>
      </c>
      <c r="Z81" t="str">
        <f t="shared" si="19"/>
        <v>Yes</v>
      </c>
    </row>
    <row r="82" spans="1:26" ht="13.5" customHeight="1" x14ac:dyDescent="0.3">
      <c r="A82" s="2" t="s">
        <v>154</v>
      </c>
      <c r="B82" s="3" t="s">
        <v>106</v>
      </c>
      <c r="C82" s="3" t="s">
        <v>49</v>
      </c>
      <c r="D82" s="3" t="s">
        <v>22</v>
      </c>
      <c r="E82" s="4">
        <v>16781</v>
      </c>
      <c r="F82" s="2">
        <v>178</v>
      </c>
      <c r="G82" s="2">
        <v>46</v>
      </c>
      <c r="H82" s="5">
        <v>45529</v>
      </c>
      <c r="I82" s="5">
        <v>45861</v>
      </c>
      <c r="J82" s="2">
        <v>65</v>
      </c>
      <c r="K82" s="3" t="s">
        <v>23</v>
      </c>
      <c r="L82" s="2">
        <v>8</v>
      </c>
      <c r="M82" s="2" t="s">
        <v>18</v>
      </c>
      <c r="N82" t="str">
        <f t="shared" si="12"/>
        <v>Recorded</v>
      </c>
      <c r="O82" t="str">
        <f t="shared" si="13"/>
        <v>Recorded</v>
      </c>
      <c r="P82" t="str">
        <f t="shared" ca="1" si="14"/>
        <v>Expired</v>
      </c>
      <c r="Q82" s="9">
        <f t="shared" ca="1" si="15"/>
        <v>-351</v>
      </c>
      <c r="R82" t="str">
        <f t="shared" ca="1" si="16"/>
        <v>Expired</v>
      </c>
      <c r="S82" s="10">
        <f t="shared" si="17"/>
        <v>2.7384615384615385</v>
      </c>
      <c r="T82">
        <f t="shared" si="18"/>
        <v>2987018</v>
      </c>
      <c r="Z82" t="str">
        <f t="shared" si="19"/>
        <v>No</v>
      </c>
    </row>
    <row r="83" spans="1:26" ht="13.5" customHeight="1" x14ac:dyDescent="0.3">
      <c r="A83" s="2" t="s">
        <v>155</v>
      </c>
      <c r="B83" s="3" t="s">
        <v>26</v>
      </c>
      <c r="C83" s="3" t="s">
        <v>27</v>
      </c>
      <c r="D83" s="3" t="s">
        <v>16</v>
      </c>
      <c r="E83" s="4">
        <v>11568</v>
      </c>
      <c r="F83" s="2">
        <v>46</v>
      </c>
      <c r="G83" s="2">
        <v>65</v>
      </c>
      <c r="H83" s="5">
        <v>45510</v>
      </c>
      <c r="I83" s="5">
        <v>45992</v>
      </c>
      <c r="J83" s="2">
        <v>72</v>
      </c>
      <c r="K83" s="3" t="s">
        <v>17</v>
      </c>
      <c r="L83" s="2">
        <v>33</v>
      </c>
      <c r="M83" s="2" t="s">
        <v>32</v>
      </c>
      <c r="N83" t="str">
        <f t="shared" si="12"/>
        <v>Recorded</v>
      </c>
      <c r="O83" t="str">
        <f t="shared" si="13"/>
        <v>Recorded</v>
      </c>
      <c r="P83" t="str">
        <f t="shared" ca="1" si="14"/>
        <v>Expired</v>
      </c>
      <c r="Q83" s="9">
        <f t="shared" ca="1" si="15"/>
        <v>-220</v>
      </c>
      <c r="R83" t="str">
        <f t="shared" ca="1" si="16"/>
        <v>Expired</v>
      </c>
      <c r="S83" s="10">
        <f t="shared" si="17"/>
        <v>0.63888888888888884</v>
      </c>
      <c r="T83">
        <f t="shared" si="18"/>
        <v>532128</v>
      </c>
      <c r="Z83" t="str">
        <f t="shared" si="19"/>
        <v>Yes</v>
      </c>
    </row>
    <row r="84" spans="1:26" ht="13.5" customHeight="1" x14ac:dyDescent="0.3">
      <c r="A84" s="2" t="s">
        <v>156</v>
      </c>
      <c r="B84" s="3" t="s">
        <v>48</v>
      </c>
      <c r="C84" s="3" t="s">
        <v>49</v>
      </c>
      <c r="D84" s="3" t="s">
        <v>43</v>
      </c>
      <c r="E84" s="4">
        <v>30385</v>
      </c>
      <c r="F84" s="2">
        <v>225</v>
      </c>
      <c r="G84" s="2">
        <v>26</v>
      </c>
      <c r="H84" s="5">
        <v>45566</v>
      </c>
      <c r="I84" s="5">
        <v>46212</v>
      </c>
      <c r="J84" s="2">
        <v>194</v>
      </c>
      <c r="K84" s="3" t="s">
        <v>17</v>
      </c>
      <c r="L84" s="2">
        <v>115</v>
      </c>
      <c r="M84" s="2" t="s">
        <v>18</v>
      </c>
      <c r="N84" t="str">
        <f t="shared" si="12"/>
        <v>Recorded</v>
      </c>
      <c r="O84" t="str">
        <f t="shared" si="13"/>
        <v>Recorded</v>
      </c>
      <c r="P84" t="str">
        <f t="shared" ca="1" si="14"/>
        <v>Active</v>
      </c>
      <c r="Q84" s="9">
        <f t="shared" ca="1" si="15"/>
        <v>0</v>
      </c>
      <c r="R84" t="str">
        <f t="shared" ca="1" si="16"/>
        <v>Expiring Soon</v>
      </c>
      <c r="S84" s="10">
        <f t="shared" si="17"/>
        <v>1.1597938144329898</v>
      </c>
      <c r="T84">
        <f t="shared" si="18"/>
        <v>6836625</v>
      </c>
      <c r="Z84" t="str">
        <f t="shared" si="19"/>
        <v>No</v>
      </c>
    </row>
    <row r="85" spans="1:26" ht="13.5" customHeight="1" x14ac:dyDescent="0.3">
      <c r="A85" s="2" t="s">
        <v>157</v>
      </c>
      <c r="B85" s="3" t="s">
        <v>158</v>
      </c>
      <c r="C85" s="3" t="s">
        <v>15</v>
      </c>
      <c r="D85" s="3" t="s">
        <v>22</v>
      </c>
      <c r="E85" s="4">
        <v>30340</v>
      </c>
      <c r="F85" s="2">
        <v>44</v>
      </c>
      <c r="G85" s="2">
        <v>24</v>
      </c>
      <c r="H85" s="5">
        <v>45315</v>
      </c>
      <c r="I85" s="5">
        <v>45692</v>
      </c>
      <c r="J85" s="2">
        <v>177</v>
      </c>
      <c r="K85" s="3" t="s">
        <v>36</v>
      </c>
      <c r="L85" s="2">
        <v>39</v>
      </c>
      <c r="M85" s="2" t="s">
        <v>18</v>
      </c>
      <c r="N85" t="str">
        <f t="shared" si="12"/>
        <v>Recorded</v>
      </c>
      <c r="O85" t="str">
        <f t="shared" si="13"/>
        <v>Recorded</v>
      </c>
      <c r="P85" t="str">
        <f t="shared" ca="1" si="14"/>
        <v>Expired</v>
      </c>
      <c r="Q85" s="9">
        <f t="shared" ca="1" si="15"/>
        <v>-520</v>
      </c>
      <c r="R85" t="str">
        <f t="shared" ca="1" si="16"/>
        <v>Expired</v>
      </c>
      <c r="S85" s="10">
        <f t="shared" si="17"/>
        <v>0.24858757062146894</v>
      </c>
      <c r="T85">
        <f t="shared" si="18"/>
        <v>1334960</v>
      </c>
      <c r="Z85" t="str">
        <f t="shared" si="19"/>
        <v>No</v>
      </c>
    </row>
    <row r="86" spans="1:26" ht="13.5" customHeight="1" x14ac:dyDescent="0.3">
      <c r="A86" s="2" t="s">
        <v>159</v>
      </c>
      <c r="B86" s="3" t="s">
        <v>147</v>
      </c>
      <c r="C86" s="3" t="s">
        <v>103</v>
      </c>
      <c r="D86" s="3" t="s">
        <v>16</v>
      </c>
      <c r="E86" s="4">
        <v>8409</v>
      </c>
      <c r="F86" s="2">
        <v>391</v>
      </c>
      <c r="G86" s="2">
        <v>62</v>
      </c>
      <c r="H86" s="5">
        <v>45469</v>
      </c>
      <c r="I86" s="5">
        <v>45787</v>
      </c>
      <c r="J86" s="2">
        <v>125</v>
      </c>
      <c r="K86" s="3" t="s">
        <v>23</v>
      </c>
      <c r="L86" s="2">
        <v>86</v>
      </c>
      <c r="M86" s="2" t="s">
        <v>251</v>
      </c>
      <c r="N86" t="str">
        <f t="shared" si="12"/>
        <v>Recorded</v>
      </c>
      <c r="O86" t="str">
        <f t="shared" si="13"/>
        <v>Recorded</v>
      </c>
      <c r="P86" t="str">
        <f t="shared" ca="1" si="14"/>
        <v>Expired</v>
      </c>
      <c r="Q86" s="9">
        <f t="shared" ca="1" si="15"/>
        <v>-425</v>
      </c>
      <c r="R86" t="str">
        <f t="shared" ca="1" si="16"/>
        <v>Expired</v>
      </c>
      <c r="S86" s="10">
        <f t="shared" si="17"/>
        <v>3.1280000000000001</v>
      </c>
      <c r="T86">
        <f t="shared" si="18"/>
        <v>3287919</v>
      </c>
      <c r="Z86" t="str">
        <f t="shared" si="19"/>
        <v>No</v>
      </c>
    </row>
    <row r="87" spans="1:26" ht="13.5" customHeight="1" x14ac:dyDescent="0.3">
      <c r="A87" s="2" t="s">
        <v>160</v>
      </c>
      <c r="B87" s="3" t="s">
        <v>56</v>
      </c>
      <c r="C87" s="3" t="s">
        <v>27</v>
      </c>
      <c r="D87" s="3" t="s">
        <v>22</v>
      </c>
      <c r="E87" s="4">
        <v>44536</v>
      </c>
      <c r="F87" s="2">
        <v>411</v>
      </c>
      <c r="G87" s="2">
        <v>41</v>
      </c>
      <c r="H87" s="5">
        <v>45365</v>
      </c>
      <c r="I87" s="5">
        <v>46302</v>
      </c>
      <c r="J87" s="2">
        <v>172</v>
      </c>
      <c r="K87" s="3" t="s">
        <v>17</v>
      </c>
      <c r="L87" s="2">
        <v>44</v>
      </c>
      <c r="M87" s="2" t="s">
        <v>18</v>
      </c>
      <c r="N87" t="str">
        <f t="shared" si="12"/>
        <v>Recorded</v>
      </c>
      <c r="O87" t="str">
        <f t="shared" si="13"/>
        <v>Recorded</v>
      </c>
      <c r="P87" t="str">
        <f t="shared" ca="1" si="14"/>
        <v>Active</v>
      </c>
      <c r="Q87" s="9">
        <f t="shared" ca="1" si="15"/>
        <v>90</v>
      </c>
      <c r="R87" t="str">
        <f t="shared" ca="1" si="16"/>
        <v>Expiring Soon</v>
      </c>
      <c r="S87" s="10">
        <f t="shared" si="17"/>
        <v>2.38953488372093</v>
      </c>
      <c r="T87">
        <f t="shared" si="18"/>
        <v>18304296</v>
      </c>
      <c r="Z87" t="str">
        <f t="shared" si="19"/>
        <v>No</v>
      </c>
    </row>
    <row r="88" spans="1:26" ht="13.5" customHeight="1" x14ac:dyDescent="0.3">
      <c r="A88" s="2" t="s">
        <v>161</v>
      </c>
      <c r="B88" s="3" t="s">
        <v>86</v>
      </c>
      <c r="C88" s="3" t="s">
        <v>27</v>
      </c>
      <c r="D88" s="3" t="s">
        <v>50</v>
      </c>
      <c r="E88" s="4">
        <v>37111</v>
      </c>
      <c r="F88" s="2">
        <v>450</v>
      </c>
      <c r="G88" s="2">
        <v>47</v>
      </c>
      <c r="H88" s="5">
        <v>45396</v>
      </c>
      <c r="I88" s="5">
        <v>45471</v>
      </c>
      <c r="J88" s="2">
        <v>14</v>
      </c>
      <c r="K88" s="3" t="s">
        <v>17</v>
      </c>
      <c r="L88" s="2">
        <v>7</v>
      </c>
      <c r="M88" s="2" t="s">
        <v>29</v>
      </c>
      <c r="N88" t="str">
        <f t="shared" si="12"/>
        <v>Recorded</v>
      </c>
      <c r="O88" t="str">
        <f t="shared" si="13"/>
        <v>Recorded</v>
      </c>
      <c r="P88" t="str">
        <f t="shared" ca="1" si="14"/>
        <v>Expired</v>
      </c>
      <c r="Q88" s="9">
        <f t="shared" ca="1" si="15"/>
        <v>-741</v>
      </c>
      <c r="R88" t="str">
        <f t="shared" ca="1" si="16"/>
        <v>Expired</v>
      </c>
      <c r="S88" s="10">
        <f t="shared" si="17"/>
        <v>32.142857142857146</v>
      </c>
      <c r="T88">
        <f t="shared" si="18"/>
        <v>16699950</v>
      </c>
      <c r="Z88" t="str">
        <f t="shared" si="19"/>
        <v>No</v>
      </c>
    </row>
    <row r="89" spans="1:26" ht="13.5" customHeight="1" x14ac:dyDescent="0.3">
      <c r="A89" s="2" t="s">
        <v>162</v>
      </c>
      <c r="B89" s="3" t="s">
        <v>59</v>
      </c>
      <c r="C89" s="3" t="s">
        <v>40</v>
      </c>
      <c r="D89" s="3" t="s">
        <v>53</v>
      </c>
      <c r="E89" s="4">
        <v>8741</v>
      </c>
      <c r="F89" s="2">
        <v>37</v>
      </c>
      <c r="G89" s="2">
        <v>47</v>
      </c>
      <c r="H89" s="5">
        <v>45529</v>
      </c>
      <c r="I89" s="5">
        <v>46122</v>
      </c>
      <c r="J89" s="2">
        <v>21</v>
      </c>
      <c r="K89" s="3" t="s">
        <v>36</v>
      </c>
      <c r="L89" s="2">
        <v>7</v>
      </c>
      <c r="M89" s="2" t="s">
        <v>251</v>
      </c>
      <c r="N89" t="str">
        <f t="shared" si="12"/>
        <v>Recorded</v>
      </c>
      <c r="O89" t="str">
        <f t="shared" si="13"/>
        <v>Recorded</v>
      </c>
      <c r="P89" t="str">
        <f t="shared" ca="1" si="14"/>
        <v>Expired</v>
      </c>
      <c r="Q89" s="9">
        <f t="shared" ca="1" si="15"/>
        <v>-90</v>
      </c>
      <c r="R89" t="str">
        <f t="shared" ca="1" si="16"/>
        <v>Expired</v>
      </c>
      <c r="S89" s="10">
        <f t="shared" si="17"/>
        <v>1.7619047619047619</v>
      </c>
      <c r="T89">
        <f t="shared" si="18"/>
        <v>323417</v>
      </c>
      <c r="Z89" t="str">
        <f t="shared" si="19"/>
        <v>Yes</v>
      </c>
    </row>
    <row r="90" spans="1:26" ht="13.5" customHeight="1" x14ac:dyDescent="0.3">
      <c r="A90" s="2" t="s">
        <v>163</v>
      </c>
      <c r="B90" s="3" t="s">
        <v>129</v>
      </c>
      <c r="C90" s="3" t="s">
        <v>130</v>
      </c>
      <c r="D90" s="3" t="s">
        <v>43</v>
      </c>
      <c r="E90" s="4">
        <v>7151</v>
      </c>
      <c r="F90" s="2">
        <v>391</v>
      </c>
      <c r="G90" s="2">
        <v>48</v>
      </c>
      <c r="H90" s="5">
        <v>45526</v>
      </c>
      <c r="I90" s="5">
        <v>46375</v>
      </c>
      <c r="J90" s="2">
        <v>57</v>
      </c>
      <c r="K90" s="3" t="s">
        <v>17</v>
      </c>
      <c r="L90" s="2">
        <v>16</v>
      </c>
      <c r="M90" s="2" t="s">
        <v>251</v>
      </c>
      <c r="N90" t="str">
        <f t="shared" si="12"/>
        <v>Recorded</v>
      </c>
      <c r="O90" t="str">
        <f t="shared" si="13"/>
        <v>Recorded</v>
      </c>
      <c r="P90" t="str">
        <f t="shared" ca="1" si="14"/>
        <v>Active</v>
      </c>
      <c r="Q90" s="9">
        <f t="shared" ca="1" si="15"/>
        <v>163</v>
      </c>
      <c r="R90" t="str">
        <f t="shared" ca="1" si="16"/>
        <v>OK</v>
      </c>
      <c r="S90" s="10">
        <f t="shared" si="17"/>
        <v>6.8596491228070171</v>
      </c>
      <c r="T90">
        <f t="shared" si="18"/>
        <v>2796041</v>
      </c>
      <c r="Z90" t="str">
        <f t="shared" si="19"/>
        <v>No</v>
      </c>
    </row>
    <row r="91" spans="1:26" ht="13.5" customHeight="1" x14ac:dyDescent="0.3">
      <c r="A91" s="2" t="s">
        <v>164</v>
      </c>
      <c r="B91" s="3" t="s">
        <v>158</v>
      </c>
      <c r="C91" s="3" t="s">
        <v>15</v>
      </c>
      <c r="D91" s="3" t="s">
        <v>22</v>
      </c>
      <c r="E91" s="4">
        <v>22444</v>
      </c>
      <c r="F91" s="2">
        <v>466</v>
      </c>
      <c r="G91" s="2">
        <v>47</v>
      </c>
      <c r="H91" s="5">
        <v>45496</v>
      </c>
      <c r="I91" s="5">
        <v>46256</v>
      </c>
      <c r="J91" s="2">
        <v>72</v>
      </c>
      <c r="K91" s="3" t="s">
        <v>17</v>
      </c>
      <c r="L91" s="2">
        <v>51</v>
      </c>
      <c r="M91" s="2" t="s">
        <v>18</v>
      </c>
      <c r="N91" t="str">
        <f t="shared" si="12"/>
        <v>Recorded</v>
      </c>
      <c r="O91" t="str">
        <f t="shared" si="13"/>
        <v>Recorded</v>
      </c>
      <c r="P91" t="str">
        <f t="shared" ca="1" si="14"/>
        <v>Active</v>
      </c>
      <c r="Q91" s="9">
        <f t="shared" ca="1" si="15"/>
        <v>44</v>
      </c>
      <c r="R91" t="str">
        <f t="shared" ca="1" si="16"/>
        <v>Expiring Soon</v>
      </c>
      <c r="S91" s="10">
        <f t="shared" si="17"/>
        <v>6.4722222222222223</v>
      </c>
      <c r="T91">
        <f t="shared" si="18"/>
        <v>10458904</v>
      </c>
      <c r="Z91" t="str">
        <f t="shared" si="19"/>
        <v>No</v>
      </c>
    </row>
    <row r="92" spans="1:26" ht="13.5" customHeight="1" x14ac:dyDescent="0.3">
      <c r="A92" s="2" t="s">
        <v>165</v>
      </c>
      <c r="B92" s="3" t="s">
        <v>56</v>
      </c>
      <c r="C92" s="3" t="s">
        <v>27</v>
      </c>
      <c r="D92" s="3" t="s">
        <v>50</v>
      </c>
      <c r="E92" s="4">
        <v>43940</v>
      </c>
      <c r="F92" s="2"/>
      <c r="G92" s="2">
        <v>63</v>
      </c>
      <c r="H92" s="5">
        <v>45399</v>
      </c>
      <c r="I92" s="5">
        <v>45405</v>
      </c>
      <c r="J92" s="2">
        <v>15</v>
      </c>
      <c r="K92" s="3" t="s">
        <v>28</v>
      </c>
      <c r="L92" s="2">
        <v>4</v>
      </c>
      <c r="M92" s="2" t="s">
        <v>29</v>
      </c>
      <c r="N92" t="str">
        <f t="shared" si="12"/>
        <v>Recorded</v>
      </c>
      <c r="O92" t="str">
        <f t="shared" si="13"/>
        <v>Missing</v>
      </c>
      <c r="P92" t="str">
        <f t="shared" ca="1" si="14"/>
        <v>Expired</v>
      </c>
      <c r="Q92" s="9">
        <f t="shared" ca="1" si="15"/>
        <v>-807</v>
      </c>
      <c r="R92" t="str">
        <f t="shared" ca="1" si="16"/>
        <v>Expired</v>
      </c>
      <c r="S92" s="10">
        <f t="shared" si="17"/>
        <v>0</v>
      </c>
      <c r="T92">
        <f t="shared" si="18"/>
        <v>0</v>
      </c>
      <c r="Z92" t="str">
        <f t="shared" si="19"/>
        <v>Yes</v>
      </c>
    </row>
    <row r="93" spans="1:26" ht="13.5" customHeight="1" x14ac:dyDescent="0.3">
      <c r="A93" s="2" t="s">
        <v>166</v>
      </c>
      <c r="B93" s="3" t="s">
        <v>48</v>
      </c>
      <c r="C93" s="3" t="s">
        <v>49</v>
      </c>
      <c r="D93" s="3" t="s">
        <v>22</v>
      </c>
      <c r="E93" s="4">
        <v>28384</v>
      </c>
      <c r="F93" s="2">
        <v>207</v>
      </c>
      <c r="G93" s="2">
        <v>65</v>
      </c>
      <c r="H93" s="5">
        <v>45399</v>
      </c>
      <c r="I93" s="5">
        <v>46387</v>
      </c>
      <c r="J93" s="2">
        <v>57</v>
      </c>
      <c r="K93" s="3" t="s">
        <v>91</v>
      </c>
      <c r="L93" s="2">
        <v>7</v>
      </c>
      <c r="M93" s="2" t="s">
        <v>18</v>
      </c>
      <c r="N93" t="str">
        <f t="shared" si="12"/>
        <v>Recorded</v>
      </c>
      <c r="O93" t="str">
        <f t="shared" si="13"/>
        <v>Recorded</v>
      </c>
      <c r="P93" t="str">
        <f t="shared" ca="1" si="14"/>
        <v>Active</v>
      </c>
      <c r="Q93" s="9">
        <f t="shared" ca="1" si="15"/>
        <v>175</v>
      </c>
      <c r="R93" t="str">
        <f t="shared" ca="1" si="16"/>
        <v>OK</v>
      </c>
      <c r="S93" s="10">
        <f t="shared" si="17"/>
        <v>3.6315789473684212</v>
      </c>
      <c r="T93">
        <f t="shared" si="18"/>
        <v>5875488</v>
      </c>
      <c r="Z93" t="str">
        <f t="shared" si="19"/>
        <v>No</v>
      </c>
    </row>
    <row r="94" spans="1:26" ht="13.5" customHeight="1" x14ac:dyDescent="0.3">
      <c r="A94" s="2" t="s">
        <v>167</v>
      </c>
      <c r="B94" s="3" t="s">
        <v>26</v>
      </c>
      <c r="C94" s="3" t="s">
        <v>27</v>
      </c>
      <c r="D94" s="3" t="s">
        <v>22</v>
      </c>
      <c r="E94" s="4">
        <v>16617</v>
      </c>
      <c r="F94" s="2">
        <v>453</v>
      </c>
      <c r="G94" s="2">
        <v>68</v>
      </c>
      <c r="H94" s="5">
        <v>45471</v>
      </c>
      <c r="I94" s="5">
        <v>46333</v>
      </c>
      <c r="J94" s="2">
        <v>105</v>
      </c>
      <c r="K94" s="3" t="s">
        <v>36</v>
      </c>
      <c r="L94" s="2">
        <v>66</v>
      </c>
      <c r="M94" s="2" t="s">
        <v>18</v>
      </c>
      <c r="N94" t="str">
        <f t="shared" si="12"/>
        <v>Recorded</v>
      </c>
      <c r="O94" t="str">
        <f t="shared" si="13"/>
        <v>Recorded</v>
      </c>
      <c r="P94" t="str">
        <f t="shared" ca="1" si="14"/>
        <v>Active</v>
      </c>
      <c r="Q94" s="9">
        <f t="shared" ca="1" si="15"/>
        <v>121</v>
      </c>
      <c r="R94" t="str">
        <f t="shared" ca="1" si="16"/>
        <v>OK</v>
      </c>
      <c r="S94" s="10">
        <f t="shared" si="17"/>
        <v>4.3142857142857141</v>
      </c>
      <c r="T94">
        <f t="shared" si="18"/>
        <v>7527501</v>
      </c>
      <c r="Z94" t="str">
        <f t="shared" si="19"/>
        <v>No</v>
      </c>
    </row>
    <row r="95" spans="1:26" ht="13.5" customHeight="1" x14ac:dyDescent="0.3">
      <c r="A95" s="2" t="s">
        <v>168</v>
      </c>
      <c r="B95" s="3" t="s">
        <v>81</v>
      </c>
      <c r="C95" s="3" t="s">
        <v>82</v>
      </c>
      <c r="D95" s="3" t="s">
        <v>53</v>
      </c>
      <c r="E95" s="4">
        <v>31462</v>
      </c>
      <c r="F95" s="2">
        <v>11</v>
      </c>
      <c r="G95" s="2">
        <v>49</v>
      </c>
      <c r="H95" s="5">
        <v>45370</v>
      </c>
      <c r="I95" s="5">
        <v>46018</v>
      </c>
      <c r="J95" s="2">
        <v>113</v>
      </c>
      <c r="K95" s="3" t="s">
        <v>91</v>
      </c>
      <c r="L95" s="2">
        <v>8</v>
      </c>
      <c r="M95" s="2" t="s">
        <v>32</v>
      </c>
      <c r="N95" t="str">
        <f t="shared" si="12"/>
        <v>Recorded</v>
      </c>
      <c r="O95" t="str">
        <f t="shared" si="13"/>
        <v>Recorded</v>
      </c>
      <c r="P95" t="str">
        <f t="shared" ca="1" si="14"/>
        <v>Expired</v>
      </c>
      <c r="Q95" s="9">
        <f t="shared" ca="1" si="15"/>
        <v>-194</v>
      </c>
      <c r="R95" t="str">
        <f t="shared" ca="1" si="16"/>
        <v>Expired</v>
      </c>
      <c r="S95" s="10">
        <f t="shared" si="17"/>
        <v>9.7345132743362831E-2</v>
      </c>
      <c r="T95">
        <f t="shared" si="18"/>
        <v>346082</v>
      </c>
      <c r="Z95" t="str">
        <f t="shared" si="19"/>
        <v>Yes</v>
      </c>
    </row>
    <row r="96" spans="1:26" ht="13.5" customHeight="1" x14ac:dyDescent="0.3">
      <c r="A96" s="2" t="s">
        <v>169</v>
      </c>
      <c r="B96" s="3" t="s">
        <v>147</v>
      </c>
      <c r="C96" s="3" t="s">
        <v>103</v>
      </c>
      <c r="D96" s="3" t="s">
        <v>16</v>
      </c>
      <c r="E96" s="4">
        <v>40217</v>
      </c>
      <c r="F96" s="2">
        <v>459</v>
      </c>
      <c r="G96" s="2">
        <v>45</v>
      </c>
      <c r="H96" s="5">
        <v>45319</v>
      </c>
      <c r="I96" s="5">
        <v>45988</v>
      </c>
      <c r="J96" s="2">
        <v>26</v>
      </c>
      <c r="K96" s="3" t="s">
        <v>28</v>
      </c>
      <c r="L96" s="2">
        <v>20</v>
      </c>
      <c r="M96" s="2" t="s">
        <v>18</v>
      </c>
      <c r="N96" t="str">
        <f t="shared" si="12"/>
        <v>Recorded</v>
      </c>
      <c r="O96" t="str">
        <f t="shared" si="13"/>
        <v>Recorded</v>
      </c>
      <c r="P96" t="str">
        <f t="shared" ca="1" si="14"/>
        <v>Expired</v>
      </c>
      <c r="Q96" s="9">
        <f t="shared" ca="1" si="15"/>
        <v>-224</v>
      </c>
      <c r="R96" t="str">
        <f t="shared" ca="1" si="16"/>
        <v>Expired</v>
      </c>
      <c r="S96" s="10">
        <f t="shared" si="17"/>
        <v>17.653846153846153</v>
      </c>
      <c r="T96">
        <f t="shared" si="18"/>
        <v>18459603</v>
      </c>
      <c r="Z96" t="str">
        <f t="shared" si="19"/>
        <v>No</v>
      </c>
    </row>
    <row r="97" spans="1:26" ht="13.5" customHeight="1" x14ac:dyDescent="0.3">
      <c r="A97" s="2" t="s">
        <v>170</v>
      </c>
      <c r="B97" s="3" t="s">
        <v>111</v>
      </c>
      <c r="C97" s="3" t="s">
        <v>62</v>
      </c>
      <c r="D97" s="3" t="s">
        <v>16</v>
      </c>
      <c r="E97" s="4">
        <v>31986</v>
      </c>
      <c r="F97" s="2">
        <v>476</v>
      </c>
      <c r="G97" s="2">
        <v>56</v>
      </c>
      <c r="H97" s="5">
        <v>45539</v>
      </c>
      <c r="I97" s="5">
        <v>45770</v>
      </c>
      <c r="J97" s="2">
        <v>82</v>
      </c>
      <c r="K97" s="3" t="s">
        <v>91</v>
      </c>
      <c r="L97" s="2">
        <v>6</v>
      </c>
      <c r="M97" s="2" t="s">
        <v>29</v>
      </c>
      <c r="N97" t="str">
        <f t="shared" si="12"/>
        <v>Recorded</v>
      </c>
      <c r="O97" t="str">
        <f t="shared" si="13"/>
        <v>Recorded</v>
      </c>
      <c r="P97" t="str">
        <f t="shared" ca="1" si="14"/>
        <v>Expired</v>
      </c>
      <c r="Q97" s="9">
        <f t="shared" ca="1" si="15"/>
        <v>-442</v>
      </c>
      <c r="R97" t="str">
        <f t="shared" ca="1" si="16"/>
        <v>Expired</v>
      </c>
      <c r="S97" s="10">
        <f t="shared" si="17"/>
        <v>5.8048780487804876</v>
      </c>
      <c r="T97">
        <f t="shared" si="18"/>
        <v>15225336</v>
      </c>
      <c r="Z97" t="str">
        <f t="shared" si="19"/>
        <v>No</v>
      </c>
    </row>
    <row r="98" spans="1:26" ht="13.5" customHeight="1" x14ac:dyDescent="0.3">
      <c r="A98" s="2" t="s">
        <v>171</v>
      </c>
      <c r="B98" s="3" t="s">
        <v>34</v>
      </c>
      <c r="C98" s="3" t="s">
        <v>35</v>
      </c>
      <c r="D98" s="3" t="s">
        <v>53</v>
      </c>
      <c r="E98" s="4">
        <v>18511</v>
      </c>
      <c r="F98" s="2">
        <v>380</v>
      </c>
      <c r="G98" s="2">
        <v>65</v>
      </c>
      <c r="H98" s="5">
        <v>45400</v>
      </c>
      <c r="I98" s="5">
        <v>46355</v>
      </c>
      <c r="J98" s="2">
        <v>31</v>
      </c>
      <c r="K98" s="3" t="s">
        <v>17</v>
      </c>
      <c r="L98" s="2">
        <v>10</v>
      </c>
      <c r="M98" s="2" t="s">
        <v>18</v>
      </c>
      <c r="N98" t="str">
        <f t="shared" si="12"/>
        <v>Recorded</v>
      </c>
      <c r="O98" t="str">
        <f t="shared" si="13"/>
        <v>Recorded</v>
      </c>
      <c r="P98" t="str">
        <f t="shared" ca="1" si="14"/>
        <v>Active</v>
      </c>
      <c r="Q98" s="9">
        <f t="shared" ca="1" si="15"/>
        <v>143</v>
      </c>
      <c r="R98" t="str">
        <f t="shared" ca="1" si="16"/>
        <v>OK</v>
      </c>
      <c r="S98" s="10">
        <f t="shared" si="17"/>
        <v>12.258064516129032</v>
      </c>
      <c r="T98">
        <f t="shared" si="18"/>
        <v>7034180</v>
      </c>
      <c r="Z98" t="str">
        <f t="shared" si="19"/>
        <v>No</v>
      </c>
    </row>
    <row r="99" spans="1:26" ht="13.5" customHeight="1" x14ac:dyDescent="0.3">
      <c r="A99" s="2" t="s">
        <v>173</v>
      </c>
      <c r="B99" s="3" t="s">
        <v>20</v>
      </c>
      <c r="C99" s="3" t="s">
        <v>21</v>
      </c>
      <c r="D99" s="3" t="s">
        <v>53</v>
      </c>
      <c r="E99" s="4">
        <v>35896</v>
      </c>
      <c r="F99" s="2">
        <v>269</v>
      </c>
      <c r="G99" s="2">
        <v>21</v>
      </c>
      <c r="H99" s="5">
        <v>45313</v>
      </c>
      <c r="I99" s="5">
        <v>45855</v>
      </c>
      <c r="J99" s="2">
        <v>81</v>
      </c>
      <c r="K99" s="3" t="s">
        <v>28</v>
      </c>
      <c r="L99" s="2">
        <v>40</v>
      </c>
      <c r="M99" s="2" t="s">
        <v>18</v>
      </c>
      <c r="N99" t="str">
        <f t="shared" si="12"/>
        <v>Recorded</v>
      </c>
      <c r="O99" t="str">
        <f t="shared" si="13"/>
        <v>Recorded</v>
      </c>
      <c r="P99" t="str">
        <f t="shared" ca="1" si="14"/>
        <v>Expired</v>
      </c>
      <c r="Q99" s="9">
        <f t="shared" ca="1" si="15"/>
        <v>-357</v>
      </c>
      <c r="R99" t="str">
        <f t="shared" ca="1" si="16"/>
        <v>Expired</v>
      </c>
      <c r="S99" s="10">
        <f t="shared" si="17"/>
        <v>3.3209876543209877</v>
      </c>
      <c r="T99">
        <f t="shared" si="18"/>
        <v>9656024</v>
      </c>
      <c r="Z99" t="str">
        <f t="shared" si="19"/>
        <v>No</v>
      </c>
    </row>
    <row r="100" spans="1:26" ht="13.5" customHeight="1" x14ac:dyDescent="0.3">
      <c r="A100" s="2" t="s">
        <v>174</v>
      </c>
      <c r="B100" s="3" t="s">
        <v>73</v>
      </c>
      <c r="C100" s="3" t="s">
        <v>40</v>
      </c>
      <c r="D100" s="3" t="s">
        <v>22</v>
      </c>
      <c r="E100" s="4">
        <v>9968</v>
      </c>
      <c r="F100" s="2">
        <v>430</v>
      </c>
      <c r="G100" s="2">
        <v>60</v>
      </c>
      <c r="H100" s="5">
        <v>45366</v>
      </c>
      <c r="I100" s="5">
        <v>45329</v>
      </c>
      <c r="J100" s="2">
        <v>174</v>
      </c>
      <c r="K100" s="3" t="s">
        <v>23</v>
      </c>
      <c r="L100" s="2">
        <v>86</v>
      </c>
      <c r="M100" s="2" t="s">
        <v>29</v>
      </c>
      <c r="N100" t="str">
        <f t="shared" si="12"/>
        <v>Recorded</v>
      </c>
      <c r="O100" t="str">
        <f t="shared" si="13"/>
        <v>Recorded</v>
      </c>
      <c r="P100" t="str">
        <f t="shared" ca="1" si="14"/>
        <v>Expired</v>
      </c>
      <c r="Q100" s="9">
        <f t="shared" ca="1" si="15"/>
        <v>-883</v>
      </c>
      <c r="R100" t="str">
        <f t="shared" ca="1" si="16"/>
        <v>Expired</v>
      </c>
      <c r="S100" s="10">
        <f t="shared" si="17"/>
        <v>2.4712643678160919</v>
      </c>
      <c r="T100">
        <f t="shared" si="18"/>
        <v>4286240</v>
      </c>
      <c r="Z100" t="str">
        <f t="shared" si="19"/>
        <v>No</v>
      </c>
    </row>
    <row r="101" spans="1:26" ht="13.5" customHeight="1" x14ac:dyDescent="0.3">
      <c r="A101" s="2" t="s">
        <v>175</v>
      </c>
      <c r="B101" s="3" t="s">
        <v>68</v>
      </c>
      <c r="C101" s="3" t="s">
        <v>40</v>
      </c>
      <c r="D101" s="3" t="s">
        <v>43</v>
      </c>
      <c r="E101" s="4">
        <v>12123</v>
      </c>
      <c r="F101" s="2">
        <v>468</v>
      </c>
      <c r="G101" s="2">
        <v>22</v>
      </c>
      <c r="H101" s="5">
        <v>45551</v>
      </c>
      <c r="I101" s="5">
        <v>45993</v>
      </c>
      <c r="J101" s="2">
        <v>19</v>
      </c>
      <c r="K101" s="3" t="s">
        <v>28</v>
      </c>
      <c r="L101" s="2">
        <v>18</v>
      </c>
      <c r="M101" s="2" t="s">
        <v>18</v>
      </c>
      <c r="N101" t="str">
        <f t="shared" si="12"/>
        <v>Recorded</v>
      </c>
      <c r="O101" t="str">
        <f t="shared" si="13"/>
        <v>Recorded</v>
      </c>
      <c r="P101" t="str">
        <f t="shared" ca="1" si="14"/>
        <v>Expired</v>
      </c>
      <c r="Q101" s="9">
        <f t="shared" ca="1" si="15"/>
        <v>-219</v>
      </c>
      <c r="R101" t="str">
        <f t="shared" ca="1" si="16"/>
        <v>Expired</v>
      </c>
      <c r="S101" s="10">
        <f t="shared" si="17"/>
        <v>24.631578947368421</v>
      </c>
      <c r="T101">
        <f t="shared" si="18"/>
        <v>5673564</v>
      </c>
      <c r="Z101" t="str">
        <f t="shared" si="19"/>
        <v>No</v>
      </c>
    </row>
    <row r="102" spans="1:26" ht="13.5" customHeight="1" x14ac:dyDescent="0.3">
      <c r="A102" s="2" t="s">
        <v>176</v>
      </c>
      <c r="B102" s="3" t="s">
        <v>158</v>
      </c>
      <c r="C102" s="3" t="s">
        <v>15</v>
      </c>
      <c r="D102" s="3" t="s">
        <v>50</v>
      </c>
      <c r="E102" s="4">
        <v>26569</v>
      </c>
      <c r="F102" s="2">
        <v>289</v>
      </c>
      <c r="G102" s="2">
        <v>24</v>
      </c>
      <c r="H102" s="5">
        <v>45430</v>
      </c>
      <c r="I102" s="5">
        <v>46137</v>
      </c>
      <c r="J102" s="2">
        <v>11</v>
      </c>
      <c r="K102" s="3" t="s">
        <v>28</v>
      </c>
      <c r="L102" s="2">
        <v>5</v>
      </c>
      <c r="M102" s="2" t="s">
        <v>18</v>
      </c>
      <c r="N102" t="str">
        <f t="shared" si="12"/>
        <v>Recorded</v>
      </c>
      <c r="O102" t="str">
        <f t="shared" si="13"/>
        <v>Recorded</v>
      </c>
      <c r="P102" t="str">
        <f t="shared" ca="1" si="14"/>
        <v>Expired</v>
      </c>
      <c r="Q102" s="9">
        <f t="shared" ca="1" si="15"/>
        <v>-75</v>
      </c>
      <c r="R102" t="str">
        <f t="shared" ca="1" si="16"/>
        <v>Expired</v>
      </c>
      <c r="S102" s="10">
        <f t="shared" si="17"/>
        <v>26.272727272727273</v>
      </c>
      <c r="T102">
        <f t="shared" si="18"/>
        <v>7678441</v>
      </c>
      <c r="Z102" t="str">
        <f t="shared" si="19"/>
        <v>No</v>
      </c>
    </row>
    <row r="103" spans="1:26" ht="13.5" customHeight="1" x14ac:dyDescent="0.3">
      <c r="A103" s="2" t="s">
        <v>177</v>
      </c>
      <c r="B103" s="3" t="s">
        <v>102</v>
      </c>
      <c r="C103" s="3" t="s">
        <v>103</v>
      </c>
      <c r="D103" s="3" t="s">
        <v>22</v>
      </c>
      <c r="E103" s="4">
        <v>39469</v>
      </c>
      <c r="F103" s="2">
        <v>202</v>
      </c>
      <c r="G103" s="2">
        <v>53</v>
      </c>
      <c r="H103" s="5">
        <v>45362</v>
      </c>
      <c r="I103" s="5">
        <v>46128</v>
      </c>
      <c r="J103" s="2">
        <v>94</v>
      </c>
      <c r="K103" s="3" t="s">
        <v>91</v>
      </c>
      <c r="L103" s="2">
        <v>11</v>
      </c>
      <c r="M103" s="2" t="s">
        <v>32</v>
      </c>
      <c r="N103" t="str">
        <f t="shared" si="12"/>
        <v>Recorded</v>
      </c>
      <c r="O103" t="str">
        <f t="shared" si="13"/>
        <v>Recorded</v>
      </c>
      <c r="P103" t="str">
        <f t="shared" ca="1" si="14"/>
        <v>Expired</v>
      </c>
      <c r="Q103" s="9">
        <f t="shared" ca="1" si="15"/>
        <v>-84</v>
      </c>
      <c r="R103" t="str">
        <f t="shared" ca="1" si="16"/>
        <v>Expired</v>
      </c>
      <c r="S103" s="10">
        <f t="shared" si="17"/>
        <v>2.1489361702127661</v>
      </c>
      <c r="T103">
        <f t="shared" si="18"/>
        <v>7972738</v>
      </c>
      <c r="Z103" t="str">
        <f t="shared" si="19"/>
        <v>No</v>
      </c>
    </row>
    <row r="104" spans="1:26" ht="13.5" customHeight="1" x14ac:dyDescent="0.3">
      <c r="A104" s="2" t="s">
        <v>178</v>
      </c>
      <c r="B104" s="3" t="s">
        <v>113</v>
      </c>
      <c r="C104" s="3" t="s">
        <v>114</v>
      </c>
      <c r="D104" s="3" t="s">
        <v>43</v>
      </c>
      <c r="E104" s="4">
        <v>27316</v>
      </c>
      <c r="F104" s="2">
        <v>424</v>
      </c>
      <c r="G104" s="2">
        <v>22</v>
      </c>
      <c r="H104" s="5">
        <v>45395</v>
      </c>
      <c r="I104" s="5">
        <v>46199</v>
      </c>
      <c r="J104" s="2">
        <v>144</v>
      </c>
      <c r="K104" s="3" t="s">
        <v>17</v>
      </c>
      <c r="L104" s="2">
        <v>38</v>
      </c>
      <c r="M104" s="2" t="s">
        <v>18</v>
      </c>
      <c r="N104" t="str">
        <f t="shared" si="12"/>
        <v>Recorded</v>
      </c>
      <c r="O104" t="str">
        <f t="shared" si="13"/>
        <v>Recorded</v>
      </c>
      <c r="P104" t="str">
        <f t="shared" ca="1" si="14"/>
        <v>Expired</v>
      </c>
      <c r="Q104" s="9">
        <f t="shared" ca="1" si="15"/>
        <v>-13</v>
      </c>
      <c r="R104" t="str">
        <f t="shared" ca="1" si="16"/>
        <v>Expired</v>
      </c>
      <c r="S104" s="10">
        <f t="shared" si="17"/>
        <v>2.9444444444444446</v>
      </c>
      <c r="T104">
        <f t="shared" si="18"/>
        <v>11581984</v>
      </c>
      <c r="Z104" t="str">
        <f t="shared" si="19"/>
        <v>No</v>
      </c>
    </row>
    <row r="105" spans="1:26" ht="13.5" customHeight="1" x14ac:dyDescent="0.3">
      <c r="A105" s="2" t="s">
        <v>179</v>
      </c>
      <c r="B105" s="3" t="s">
        <v>65</v>
      </c>
      <c r="C105" s="3" t="s">
        <v>66</v>
      </c>
      <c r="D105" s="3" t="s">
        <v>50</v>
      </c>
      <c r="E105" s="4">
        <v>18702</v>
      </c>
      <c r="F105" s="2">
        <v>287</v>
      </c>
      <c r="G105" s="2">
        <v>34</v>
      </c>
      <c r="H105" s="5">
        <v>45459</v>
      </c>
      <c r="I105" s="5">
        <v>46079</v>
      </c>
      <c r="J105" s="2">
        <v>55</v>
      </c>
      <c r="K105" s="3" t="s">
        <v>28</v>
      </c>
      <c r="L105" s="2">
        <v>55</v>
      </c>
      <c r="M105" s="2" t="s">
        <v>29</v>
      </c>
      <c r="N105" t="str">
        <f t="shared" si="12"/>
        <v>Recorded</v>
      </c>
      <c r="O105" t="str">
        <f t="shared" si="13"/>
        <v>Recorded</v>
      </c>
      <c r="P105" t="str">
        <f t="shared" ca="1" si="14"/>
        <v>Expired</v>
      </c>
      <c r="Q105" s="9">
        <f t="shared" ca="1" si="15"/>
        <v>-133</v>
      </c>
      <c r="R105" t="str">
        <f t="shared" ca="1" si="16"/>
        <v>Expired</v>
      </c>
      <c r="S105" s="10">
        <f t="shared" si="17"/>
        <v>5.2181818181818178</v>
      </c>
      <c r="T105">
        <f t="shared" si="18"/>
        <v>5367474</v>
      </c>
      <c r="Z105" t="str">
        <f t="shared" si="19"/>
        <v>No</v>
      </c>
    </row>
    <row r="106" spans="1:26" ht="13.5" customHeight="1" x14ac:dyDescent="0.3">
      <c r="A106" s="2" t="s">
        <v>180</v>
      </c>
      <c r="B106" s="3" t="s">
        <v>129</v>
      </c>
      <c r="C106" s="3" t="s">
        <v>130</v>
      </c>
      <c r="D106" s="3" t="s">
        <v>50</v>
      </c>
      <c r="E106" s="4">
        <v>35010</v>
      </c>
      <c r="F106" s="2">
        <v>120</v>
      </c>
      <c r="G106" s="2">
        <v>23</v>
      </c>
      <c r="H106" s="5">
        <v>45425</v>
      </c>
      <c r="I106" s="5">
        <v>45864</v>
      </c>
      <c r="J106" s="2">
        <v>21</v>
      </c>
      <c r="K106" s="3" t="s">
        <v>23</v>
      </c>
      <c r="L106" s="2">
        <v>21</v>
      </c>
      <c r="M106" s="2" t="s">
        <v>18</v>
      </c>
      <c r="N106" t="str">
        <f t="shared" si="12"/>
        <v>Recorded</v>
      </c>
      <c r="O106" t="str">
        <f t="shared" si="13"/>
        <v>Recorded</v>
      </c>
      <c r="P106" t="str">
        <f t="shared" ca="1" si="14"/>
        <v>Expired</v>
      </c>
      <c r="Q106" s="9">
        <f t="shared" ca="1" si="15"/>
        <v>-348</v>
      </c>
      <c r="R106" t="str">
        <f t="shared" ca="1" si="16"/>
        <v>Expired</v>
      </c>
      <c r="S106" s="10">
        <f t="shared" si="17"/>
        <v>5.7142857142857144</v>
      </c>
      <c r="T106">
        <f t="shared" si="18"/>
        <v>4201200</v>
      </c>
      <c r="Z106" t="str">
        <f t="shared" si="19"/>
        <v>No</v>
      </c>
    </row>
    <row r="107" spans="1:26" ht="13.5" customHeight="1" x14ac:dyDescent="0.3">
      <c r="A107" s="2" t="s">
        <v>181</v>
      </c>
      <c r="B107" s="3" t="s">
        <v>70</v>
      </c>
      <c r="C107" s="3" t="s">
        <v>15</v>
      </c>
      <c r="D107" s="3" t="s">
        <v>16</v>
      </c>
      <c r="E107" s="4">
        <v>13829</v>
      </c>
      <c r="F107" s="2">
        <v>490</v>
      </c>
      <c r="G107" s="2">
        <v>67</v>
      </c>
      <c r="H107" s="5">
        <v>45334</v>
      </c>
      <c r="I107" s="5">
        <v>45969</v>
      </c>
      <c r="J107" s="2">
        <v>161</v>
      </c>
      <c r="K107" s="3" t="s">
        <v>23</v>
      </c>
      <c r="L107" s="2">
        <v>76</v>
      </c>
      <c r="M107" s="2" t="s">
        <v>251</v>
      </c>
      <c r="N107" t="str">
        <f t="shared" si="12"/>
        <v>Recorded</v>
      </c>
      <c r="O107" t="str">
        <f t="shared" si="13"/>
        <v>Recorded</v>
      </c>
      <c r="P107" t="str">
        <f t="shared" ca="1" si="14"/>
        <v>Expired</v>
      </c>
      <c r="Q107" s="9">
        <f t="shared" ca="1" si="15"/>
        <v>-243</v>
      </c>
      <c r="R107" t="str">
        <f t="shared" ca="1" si="16"/>
        <v>Expired</v>
      </c>
      <c r="S107" s="10">
        <f t="shared" si="17"/>
        <v>3.0434782608695654</v>
      </c>
      <c r="T107">
        <f t="shared" si="18"/>
        <v>6776210</v>
      </c>
      <c r="Z107" t="str">
        <f t="shared" si="19"/>
        <v>No</v>
      </c>
    </row>
    <row r="108" spans="1:26" ht="13.5" customHeight="1" x14ac:dyDescent="0.3">
      <c r="A108" s="2" t="s">
        <v>182</v>
      </c>
      <c r="B108" s="3" t="s">
        <v>113</v>
      </c>
      <c r="C108" s="3" t="s">
        <v>114</v>
      </c>
      <c r="D108" s="3" t="s">
        <v>53</v>
      </c>
      <c r="E108" s="4">
        <v>7133</v>
      </c>
      <c r="F108" s="2">
        <v>53</v>
      </c>
      <c r="G108" s="2">
        <v>33</v>
      </c>
      <c r="H108" s="5">
        <v>45366</v>
      </c>
      <c r="I108" s="5">
        <v>45804</v>
      </c>
      <c r="J108" s="2">
        <v>53</v>
      </c>
      <c r="K108" s="3" t="s">
        <v>91</v>
      </c>
      <c r="L108" s="2">
        <v>35</v>
      </c>
      <c r="M108" s="2" t="s">
        <v>18</v>
      </c>
      <c r="N108" t="str">
        <f t="shared" si="12"/>
        <v>Recorded</v>
      </c>
      <c r="O108" t="str">
        <f t="shared" si="13"/>
        <v>Recorded</v>
      </c>
      <c r="P108" t="str">
        <f t="shared" ca="1" si="14"/>
        <v>Expired</v>
      </c>
      <c r="Q108" s="9">
        <f t="shared" ca="1" si="15"/>
        <v>-408</v>
      </c>
      <c r="R108" t="str">
        <f t="shared" ca="1" si="16"/>
        <v>Expired</v>
      </c>
      <c r="S108" s="10">
        <f t="shared" si="17"/>
        <v>1</v>
      </c>
      <c r="T108">
        <f t="shared" si="18"/>
        <v>378049</v>
      </c>
      <c r="Z108" t="str">
        <f t="shared" si="19"/>
        <v>No</v>
      </c>
    </row>
    <row r="109" spans="1:26" ht="13.5" customHeight="1" x14ac:dyDescent="0.3">
      <c r="A109" s="2" t="s">
        <v>183</v>
      </c>
      <c r="B109" s="3" t="s">
        <v>111</v>
      </c>
      <c r="C109" s="3" t="s">
        <v>62</v>
      </c>
      <c r="D109" s="3" t="s">
        <v>50</v>
      </c>
      <c r="E109" s="4">
        <v>44026</v>
      </c>
      <c r="F109" s="2">
        <v>106</v>
      </c>
      <c r="G109" s="2">
        <v>38</v>
      </c>
      <c r="H109" s="5">
        <v>45308</v>
      </c>
      <c r="I109" s="5">
        <v>45848</v>
      </c>
      <c r="J109" s="2">
        <v>199</v>
      </c>
      <c r="K109" s="3" t="s">
        <v>36</v>
      </c>
      <c r="L109" s="2">
        <v>18</v>
      </c>
      <c r="M109" s="2" t="s">
        <v>18</v>
      </c>
      <c r="N109" t="str">
        <f t="shared" si="12"/>
        <v>Recorded</v>
      </c>
      <c r="O109" t="str">
        <f t="shared" si="13"/>
        <v>Recorded</v>
      </c>
      <c r="P109" t="str">
        <f t="shared" ca="1" si="14"/>
        <v>Expired</v>
      </c>
      <c r="Q109" s="9">
        <f t="shared" ca="1" si="15"/>
        <v>-364</v>
      </c>
      <c r="R109" t="str">
        <f t="shared" ca="1" si="16"/>
        <v>Expired</v>
      </c>
      <c r="S109" s="10">
        <f t="shared" si="17"/>
        <v>0.53266331658291455</v>
      </c>
      <c r="T109">
        <f t="shared" si="18"/>
        <v>4666756</v>
      </c>
      <c r="Z109" t="str">
        <f t="shared" si="19"/>
        <v>No</v>
      </c>
    </row>
    <row r="110" spans="1:26" ht="13.5" customHeight="1" x14ac:dyDescent="0.3">
      <c r="A110" s="2" t="s">
        <v>184</v>
      </c>
      <c r="B110" s="3" t="s">
        <v>14</v>
      </c>
      <c r="C110" s="3" t="s">
        <v>15</v>
      </c>
      <c r="D110" s="3" t="s">
        <v>22</v>
      </c>
      <c r="E110" s="4">
        <v>34102</v>
      </c>
      <c r="F110" s="2">
        <v>330</v>
      </c>
      <c r="G110" s="2">
        <v>43</v>
      </c>
      <c r="H110" s="5">
        <v>45523</v>
      </c>
      <c r="I110" s="5">
        <v>46259</v>
      </c>
      <c r="J110" s="2">
        <v>35</v>
      </c>
      <c r="K110" s="3" t="s">
        <v>91</v>
      </c>
      <c r="L110" s="2">
        <v>13</v>
      </c>
      <c r="M110" s="2" t="s">
        <v>18</v>
      </c>
      <c r="N110" t="str">
        <f t="shared" si="12"/>
        <v>Recorded</v>
      </c>
      <c r="O110" t="str">
        <f t="shared" si="13"/>
        <v>Recorded</v>
      </c>
      <c r="P110" t="str">
        <f t="shared" ca="1" si="14"/>
        <v>Active</v>
      </c>
      <c r="Q110" s="9">
        <f t="shared" ca="1" si="15"/>
        <v>47</v>
      </c>
      <c r="R110" t="str">
        <f t="shared" ca="1" si="16"/>
        <v>Expiring Soon</v>
      </c>
      <c r="S110" s="10">
        <f t="shared" si="17"/>
        <v>9.4285714285714288</v>
      </c>
      <c r="T110">
        <f t="shared" si="18"/>
        <v>11253660</v>
      </c>
      <c r="Z110" t="str">
        <f t="shared" si="19"/>
        <v>No</v>
      </c>
    </row>
    <row r="111" spans="1:26" ht="13.5" customHeight="1" x14ac:dyDescent="0.3">
      <c r="A111" s="2" t="s">
        <v>185</v>
      </c>
      <c r="B111" s="3" t="s">
        <v>125</v>
      </c>
      <c r="C111" s="3" t="s">
        <v>126</v>
      </c>
      <c r="D111" s="3" t="s">
        <v>43</v>
      </c>
      <c r="E111" s="4">
        <v>40591</v>
      </c>
      <c r="F111" s="2">
        <v>370</v>
      </c>
      <c r="G111" s="2">
        <v>78</v>
      </c>
      <c r="H111" s="5">
        <v>45535</v>
      </c>
      <c r="I111" s="5">
        <v>46377</v>
      </c>
      <c r="J111" s="2">
        <v>42</v>
      </c>
      <c r="K111" s="3" t="s">
        <v>23</v>
      </c>
      <c r="L111" s="2">
        <v>26</v>
      </c>
      <c r="M111" s="2" t="s">
        <v>18</v>
      </c>
      <c r="N111" t="str">
        <f t="shared" si="12"/>
        <v>Recorded</v>
      </c>
      <c r="O111" t="str">
        <f t="shared" si="13"/>
        <v>Recorded</v>
      </c>
      <c r="P111" t="str">
        <f t="shared" ca="1" si="14"/>
        <v>Active</v>
      </c>
      <c r="Q111" s="9">
        <f t="shared" ca="1" si="15"/>
        <v>165</v>
      </c>
      <c r="R111" t="str">
        <f t="shared" ca="1" si="16"/>
        <v>OK</v>
      </c>
      <c r="S111" s="10">
        <f t="shared" si="17"/>
        <v>8.8095238095238102</v>
      </c>
      <c r="T111">
        <f t="shared" si="18"/>
        <v>15018670</v>
      </c>
      <c r="Z111" t="str">
        <f t="shared" si="19"/>
        <v>No</v>
      </c>
    </row>
    <row r="112" spans="1:26" ht="13.5" customHeight="1" x14ac:dyDescent="0.3">
      <c r="A112" s="2" t="s">
        <v>186</v>
      </c>
      <c r="B112" s="3" t="s">
        <v>68</v>
      </c>
      <c r="C112" s="3" t="s">
        <v>40</v>
      </c>
      <c r="D112" s="3" t="s">
        <v>16</v>
      </c>
      <c r="E112" s="4">
        <v>5229</v>
      </c>
      <c r="F112" s="2">
        <v>257</v>
      </c>
      <c r="G112" s="2">
        <v>66</v>
      </c>
      <c r="H112" s="5">
        <v>45511</v>
      </c>
      <c r="I112" s="5">
        <v>45861</v>
      </c>
      <c r="J112" s="2">
        <v>112</v>
      </c>
      <c r="K112" s="3" t="s">
        <v>17</v>
      </c>
      <c r="L112" s="2">
        <v>79</v>
      </c>
      <c r="M112" s="2" t="s">
        <v>18</v>
      </c>
      <c r="N112" t="str">
        <f t="shared" si="12"/>
        <v>Recorded</v>
      </c>
      <c r="O112" t="str">
        <f t="shared" si="13"/>
        <v>Recorded</v>
      </c>
      <c r="P112" t="str">
        <f t="shared" ca="1" si="14"/>
        <v>Expired</v>
      </c>
      <c r="Q112" s="9">
        <f t="shared" ca="1" si="15"/>
        <v>-351</v>
      </c>
      <c r="R112" t="str">
        <f t="shared" ca="1" si="16"/>
        <v>Expired</v>
      </c>
      <c r="S112" s="10">
        <f t="shared" si="17"/>
        <v>2.2946428571428572</v>
      </c>
      <c r="T112">
        <f t="shared" si="18"/>
        <v>1343853</v>
      </c>
      <c r="Z112" t="str">
        <f t="shared" si="19"/>
        <v>No</v>
      </c>
    </row>
    <row r="113" spans="1:26" ht="13.5" customHeight="1" x14ac:dyDescent="0.3">
      <c r="A113" s="2" t="s">
        <v>187</v>
      </c>
      <c r="B113" s="3" t="s">
        <v>20</v>
      </c>
      <c r="C113" s="3" t="s">
        <v>21</v>
      </c>
      <c r="D113" s="3" t="s">
        <v>50</v>
      </c>
      <c r="E113" s="4">
        <v>19689</v>
      </c>
      <c r="F113" s="2"/>
      <c r="G113" s="2">
        <v>59</v>
      </c>
      <c r="H113" s="5">
        <v>45370</v>
      </c>
      <c r="I113" s="5">
        <v>46200</v>
      </c>
      <c r="J113" s="2">
        <v>119</v>
      </c>
      <c r="K113" s="3" t="s">
        <v>36</v>
      </c>
      <c r="L113" s="2">
        <v>118</v>
      </c>
      <c r="M113" s="2" t="s">
        <v>18</v>
      </c>
      <c r="N113" t="str">
        <f t="shared" si="12"/>
        <v>Recorded</v>
      </c>
      <c r="O113" t="str">
        <f t="shared" si="13"/>
        <v>Missing</v>
      </c>
      <c r="P113" t="str">
        <f t="shared" ca="1" si="14"/>
        <v>Expired</v>
      </c>
      <c r="Q113" s="9">
        <f t="shared" ca="1" si="15"/>
        <v>-12</v>
      </c>
      <c r="R113" t="str">
        <f t="shared" ca="1" si="16"/>
        <v>Expired</v>
      </c>
      <c r="S113" s="10">
        <f t="shared" si="17"/>
        <v>0</v>
      </c>
      <c r="T113">
        <f t="shared" si="18"/>
        <v>0</v>
      </c>
      <c r="Z113" t="str">
        <f t="shared" si="19"/>
        <v>Yes</v>
      </c>
    </row>
    <row r="114" spans="1:26" ht="13.5" customHeight="1" x14ac:dyDescent="0.3">
      <c r="A114" s="2" t="s">
        <v>188</v>
      </c>
      <c r="B114" s="3" t="s">
        <v>61</v>
      </c>
      <c r="C114" s="3" t="s">
        <v>62</v>
      </c>
      <c r="D114" s="3" t="s">
        <v>53</v>
      </c>
      <c r="E114" s="4">
        <v>2927</v>
      </c>
      <c r="F114" s="2">
        <v>460</v>
      </c>
      <c r="G114" s="2">
        <v>50</v>
      </c>
      <c r="H114" s="5">
        <v>45483</v>
      </c>
      <c r="I114" s="5">
        <v>45457</v>
      </c>
      <c r="J114" s="2">
        <v>110</v>
      </c>
      <c r="K114" s="3" t="s">
        <v>91</v>
      </c>
      <c r="L114" s="2">
        <v>60</v>
      </c>
      <c r="M114" s="2" t="s">
        <v>29</v>
      </c>
      <c r="N114" t="str">
        <f t="shared" si="12"/>
        <v>Recorded</v>
      </c>
      <c r="O114" t="str">
        <f t="shared" si="13"/>
        <v>Recorded</v>
      </c>
      <c r="P114" t="str">
        <f t="shared" ca="1" si="14"/>
        <v>Expired</v>
      </c>
      <c r="Q114" s="9">
        <f t="shared" ca="1" si="15"/>
        <v>-755</v>
      </c>
      <c r="R114" t="str">
        <f t="shared" ca="1" si="16"/>
        <v>Expired</v>
      </c>
      <c r="S114" s="10">
        <f t="shared" si="17"/>
        <v>4.1818181818181817</v>
      </c>
      <c r="T114">
        <f t="shared" si="18"/>
        <v>1346420</v>
      </c>
      <c r="Z114" t="str">
        <f t="shared" si="19"/>
        <v>No</v>
      </c>
    </row>
    <row r="115" spans="1:26" ht="13.5" customHeight="1" x14ac:dyDescent="0.3">
      <c r="A115" s="2" t="s">
        <v>189</v>
      </c>
      <c r="B115" s="3" t="s">
        <v>75</v>
      </c>
      <c r="C115" s="3" t="s">
        <v>76</v>
      </c>
      <c r="D115" s="3" t="s">
        <v>50</v>
      </c>
      <c r="E115" s="4">
        <v>20757</v>
      </c>
      <c r="F115" s="2">
        <v>196</v>
      </c>
      <c r="G115" s="2">
        <v>31</v>
      </c>
      <c r="H115" s="5">
        <v>45467</v>
      </c>
      <c r="I115" s="5">
        <v>46166</v>
      </c>
      <c r="J115" s="2">
        <v>176</v>
      </c>
      <c r="K115" s="3" t="s">
        <v>23</v>
      </c>
      <c r="L115" s="2">
        <v>9</v>
      </c>
      <c r="M115" s="2" t="s">
        <v>18</v>
      </c>
      <c r="N115" t="str">
        <f t="shared" si="12"/>
        <v>Recorded</v>
      </c>
      <c r="O115" t="str">
        <f t="shared" si="13"/>
        <v>Recorded</v>
      </c>
      <c r="P115" t="str">
        <f t="shared" ca="1" si="14"/>
        <v>Expired</v>
      </c>
      <c r="Q115" s="9">
        <f t="shared" ca="1" si="15"/>
        <v>-46</v>
      </c>
      <c r="R115" t="str">
        <f t="shared" ca="1" si="16"/>
        <v>Expired</v>
      </c>
      <c r="S115" s="10">
        <f t="shared" si="17"/>
        <v>1.1136363636363635</v>
      </c>
      <c r="T115">
        <f t="shared" si="18"/>
        <v>4068372</v>
      </c>
      <c r="Z115" t="str">
        <f t="shared" si="19"/>
        <v>No</v>
      </c>
    </row>
    <row r="116" spans="1:26" ht="13.5" customHeight="1" x14ac:dyDescent="0.3">
      <c r="A116" s="2" t="s">
        <v>190</v>
      </c>
      <c r="B116" s="3" t="s">
        <v>93</v>
      </c>
      <c r="C116" s="3" t="s">
        <v>27</v>
      </c>
      <c r="D116" s="3" t="s">
        <v>53</v>
      </c>
      <c r="E116" s="4">
        <v>19205</v>
      </c>
      <c r="F116" s="2">
        <v>350</v>
      </c>
      <c r="G116" s="2">
        <v>78</v>
      </c>
      <c r="H116" s="5">
        <v>45387</v>
      </c>
      <c r="I116" s="5">
        <v>46370</v>
      </c>
      <c r="J116" s="2">
        <v>47</v>
      </c>
      <c r="K116" s="3" t="s">
        <v>36</v>
      </c>
      <c r="L116" s="2">
        <v>14</v>
      </c>
      <c r="M116" s="2" t="s">
        <v>18</v>
      </c>
      <c r="N116" t="str">
        <f t="shared" si="12"/>
        <v>Recorded</v>
      </c>
      <c r="O116" t="str">
        <f t="shared" si="13"/>
        <v>Recorded</v>
      </c>
      <c r="P116" t="str">
        <f t="shared" ca="1" si="14"/>
        <v>Active</v>
      </c>
      <c r="Q116" s="9">
        <f t="shared" ca="1" si="15"/>
        <v>158</v>
      </c>
      <c r="R116" t="str">
        <f t="shared" ca="1" si="16"/>
        <v>OK</v>
      </c>
      <c r="S116" s="10">
        <f t="shared" si="17"/>
        <v>7.4468085106382977</v>
      </c>
      <c r="T116">
        <f t="shared" si="18"/>
        <v>6721750</v>
      </c>
      <c r="Z116" t="str">
        <f t="shared" si="19"/>
        <v>No</v>
      </c>
    </row>
    <row r="117" spans="1:26" ht="13.5" customHeight="1" x14ac:dyDescent="0.3">
      <c r="A117" s="2" t="s">
        <v>191</v>
      </c>
      <c r="B117" s="3" t="s">
        <v>75</v>
      </c>
      <c r="C117" s="3" t="s">
        <v>76</v>
      </c>
      <c r="D117" s="3" t="s">
        <v>50</v>
      </c>
      <c r="E117" s="4">
        <v>38076</v>
      </c>
      <c r="F117" s="2">
        <v>165</v>
      </c>
      <c r="G117" s="2">
        <v>41</v>
      </c>
      <c r="H117" s="5">
        <v>45551</v>
      </c>
      <c r="I117" s="5">
        <v>46113</v>
      </c>
      <c r="J117" s="2">
        <v>15</v>
      </c>
      <c r="K117" s="3" t="s">
        <v>91</v>
      </c>
      <c r="L117" s="2">
        <v>10</v>
      </c>
      <c r="M117" s="2" t="s">
        <v>18</v>
      </c>
      <c r="N117" t="str">
        <f t="shared" si="12"/>
        <v>Recorded</v>
      </c>
      <c r="O117" t="str">
        <f t="shared" si="13"/>
        <v>Recorded</v>
      </c>
      <c r="P117" t="str">
        <f t="shared" ca="1" si="14"/>
        <v>Expired</v>
      </c>
      <c r="Q117" s="9">
        <f t="shared" ca="1" si="15"/>
        <v>-99</v>
      </c>
      <c r="R117" t="str">
        <f t="shared" ca="1" si="16"/>
        <v>Expired</v>
      </c>
      <c r="S117" s="10">
        <f t="shared" si="17"/>
        <v>11</v>
      </c>
      <c r="T117">
        <f t="shared" si="18"/>
        <v>6282540</v>
      </c>
      <c r="Z117" t="str">
        <f t="shared" si="19"/>
        <v>No</v>
      </c>
    </row>
    <row r="118" spans="1:26" ht="13.5" customHeight="1" x14ac:dyDescent="0.3">
      <c r="A118" s="2" t="s">
        <v>192</v>
      </c>
      <c r="B118" s="3" t="s">
        <v>79</v>
      </c>
      <c r="C118" s="3" t="s">
        <v>15</v>
      </c>
      <c r="D118" s="3" t="s">
        <v>16</v>
      </c>
      <c r="E118" s="4">
        <v>30812</v>
      </c>
      <c r="F118" s="2">
        <v>489</v>
      </c>
      <c r="G118" s="2">
        <v>80</v>
      </c>
      <c r="H118" s="5">
        <v>45532</v>
      </c>
      <c r="I118" s="5">
        <v>45734</v>
      </c>
      <c r="J118" s="2">
        <v>31</v>
      </c>
      <c r="K118" s="3" t="s">
        <v>28</v>
      </c>
      <c r="L118" s="2">
        <v>3</v>
      </c>
      <c r="M118" s="2" t="s">
        <v>18</v>
      </c>
      <c r="N118" t="str">
        <f t="shared" si="12"/>
        <v>Recorded</v>
      </c>
      <c r="O118" t="str">
        <f t="shared" si="13"/>
        <v>Recorded</v>
      </c>
      <c r="P118" t="str">
        <f t="shared" ca="1" si="14"/>
        <v>Expired</v>
      </c>
      <c r="Q118" s="9">
        <f t="shared" ca="1" si="15"/>
        <v>-478</v>
      </c>
      <c r="R118" t="str">
        <f t="shared" ca="1" si="16"/>
        <v>Expired</v>
      </c>
      <c r="S118" s="10">
        <f t="shared" si="17"/>
        <v>15.774193548387096</v>
      </c>
      <c r="T118">
        <f t="shared" si="18"/>
        <v>15067068</v>
      </c>
      <c r="Z118" t="str">
        <f t="shared" si="19"/>
        <v>No</v>
      </c>
    </row>
    <row r="119" spans="1:26" ht="13.5" customHeight="1" x14ac:dyDescent="0.3">
      <c r="A119" s="2" t="s">
        <v>193</v>
      </c>
      <c r="B119" s="3" t="s">
        <v>31</v>
      </c>
      <c r="C119" s="3" t="s">
        <v>27</v>
      </c>
      <c r="D119" s="3" t="s">
        <v>50</v>
      </c>
      <c r="E119" s="4">
        <v>42834</v>
      </c>
      <c r="F119" s="2">
        <v>443</v>
      </c>
      <c r="G119" s="2">
        <v>79</v>
      </c>
      <c r="H119" s="5">
        <v>45424</v>
      </c>
      <c r="I119" s="5">
        <v>46289</v>
      </c>
      <c r="J119" s="2">
        <v>103</v>
      </c>
      <c r="K119" s="3" t="s">
        <v>28</v>
      </c>
      <c r="L119" s="2">
        <v>3</v>
      </c>
      <c r="M119" s="2" t="s">
        <v>18</v>
      </c>
      <c r="N119" t="str">
        <f t="shared" si="12"/>
        <v>Recorded</v>
      </c>
      <c r="O119" t="str">
        <f t="shared" si="13"/>
        <v>Recorded</v>
      </c>
      <c r="P119" t="str">
        <f t="shared" ca="1" si="14"/>
        <v>Active</v>
      </c>
      <c r="Q119" s="9">
        <f t="shared" ca="1" si="15"/>
        <v>77</v>
      </c>
      <c r="R119" t="str">
        <f t="shared" ca="1" si="16"/>
        <v>Expiring Soon</v>
      </c>
      <c r="S119" s="10">
        <f t="shared" si="17"/>
        <v>4.3009708737864081</v>
      </c>
      <c r="T119">
        <f t="shared" si="18"/>
        <v>18975462</v>
      </c>
      <c r="Z119" t="str">
        <f t="shared" si="19"/>
        <v>No</v>
      </c>
    </row>
    <row r="120" spans="1:26" ht="13.5" customHeight="1" x14ac:dyDescent="0.3">
      <c r="A120" s="2" t="s">
        <v>194</v>
      </c>
      <c r="B120" s="3" t="s">
        <v>81</v>
      </c>
      <c r="C120" s="3" t="s">
        <v>82</v>
      </c>
      <c r="D120" s="3" t="s">
        <v>22</v>
      </c>
      <c r="E120" s="4">
        <v>16394</v>
      </c>
      <c r="F120" s="2">
        <v>97</v>
      </c>
      <c r="G120" s="2">
        <v>57</v>
      </c>
      <c r="H120" s="5">
        <v>45555</v>
      </c>
      <c r="I120" s="5">
        <v>45768</v>
      </c>
      <c r="J120" s="2">
        <v>184</v>
      </c>
      <c r="K120" s="3" t="s">
        <v>28</v>
      </c>
      <c r="L120" s="2">
        <v>41</v>
      </c>
      <c r="M120" s="2" t="s">
        <v>18</v>
      </c>
      <c r="N120" t="str">
        <f t="shared" si="12"/>
        <v>Recorded</v>
      </c>
      <c r="O120" t="str">
        <f t="shared" si="13"/>
        <v>Recorded</v>
      </c>
      <c r="P120" t="str">
        <f t="shared" ca="1" si="14"/>
        <v>Expired</v>
      </c>
      <c r="Q120" s="9">
        <f t="shared" ca="1" si="15"/>
        <v>-444</v>
      </c>
      <c r="R120" t="str">
        <f t="shared" ca="1" si="16"/>
        <v>Expired</v>
      </c>
      <c r="S120" s="10">
        <f t="shared" si="17"/>
        <v>0.52717391304347827</v>
      </c>
      <c r="T120">
        <f t="shared" si="18"/>
        <v>1590218</v>
      </c>
      <c r="Z120" t="str">
        <f t="shared" si="19"/>
        <v>No</v>
      </c>
    </row>
    <row r="121" spans="1:26" ht="13.5" customHeight="1" x14ac:dyDescent="0.3">
      <c r="A121" s="2" t="s">
        <v>195</v>
      </c>
      <c r="B121" s="3" t="s">
        <v>84</v>
      </c>
      <c r="C121" s="3" t="s">
        <v>27</v>
      </c>
      <c r="D121" s="3" t="s">
        <v>43</v>
      </c>
      <c r="E121" s="4">
        <v>44975</v>
      </c>
      <c r="F121" s="2">
        <v>472</v>
      </c>
      <c r="G121" s="2">
        <v>57</v>
      </c>
      <c r="H121" s="5">
        <v>45517</v>
      </c>
      <c r="I121" s="5">
        <v>46229</v>
      </c>
      <c r="J121" s="2">
        <v>163</v>
      </c>
      <c r="K121" s="3" t="s">
        <v>91</v>
      </c>
      <c r="L121" s="2">
        <v>15</v>
      </c>
      <c r="M121" s="2" t="s">
        <v>18</v>
      </c>
      <c r="N121" t="str">
        <f t="shared" si="12"/>
        <v>Recorded</v>
      </c>
      <c r="O121" t="str">
        <f t="shared" si="13"/>
        <v>Recorded</v>
      </c>
      <c r="P121" t="str">
        <f t="shared" ca="1" si="14"/>
        <v>Active</v>
      </c>
      <c r="Q121" s="9">
        <f t="shared" ca="1" si="15"/>
        <v>17</v>
      </c>
      <c r="R121" t="str">
        <f t="shared" ca="1" si="16"/>
        <v>Expiring Soon</v>
      </c>
      <c r="S121" s="10">
        <f t="shared" si="17"/>
        <v>2.8957055214723928</v>
      </c>
      <c r="T121">
        <f t="shared" si="18"/>
        <v>21228200</v>
      </c>
      <c r="Z121" t="str">
        <f t="shared" si="19"/>
        <v>No</v>
      </c>
    </row>
    <row r="122" spans="1:26" ht="13.5" customHeight="1" x14ac:dyDescent="0.3">
      <c r="A122" s="2" t="s">
        <v>196</v>
      </c>
      <c r="B122" s="3" t="s">
        <v>102</v>
      </c>
      <c r="C122" s="3" t="s">
        <v>103</v>
      </c>
      <c r="D122" s="3" t="s">
        <v>22</v>
      </c>
      <c r="E122" s="4">
        <v>10245</v>
      </c>
      <c r="F122" s="2">
        <v>128</v>
      </c>
      <c r="G122" s="2">
        <v>52</v>
      </c>
      <c r="H122" s="5">
        <v>45310</v>
      </c>
      <c r="I122" s="5">
        <v>46287</v>
      </c>
      <c r="J122" s="2">
        <v>115</v>
      </c>
      <c r="K122" s="3" t="s">
        <v>23</v>
      </c>
      <c r="L122" s="2">
        <v>90</v>
      </c>
      <c r="M122" s="2" t="s">
        <v>18</v>
      </c>
      <c r="N122" t="str">
        <f t="shared" si="12"/>
        <v>Recorded</v>
      </c>
      <c r="O122" t="str">
        <f t="shared" si="13"/>
        <v>Recorded</v>
      </c>
      <c r="P122" t="str">
        <f t="shared" ca="1" si="14"/>
        <v>Active</v>
      </c>
      <c r="Q122" s="9">
        <f t="shared" ca="1" si="15"/>
        <v>75</v>
      </c>
      <c r="R122" t="str">
        <f t="shared" ca="1" si="16"/>
        <v>Expiring Soon</v>
      </c>
      <c r="S122" s="10">
        <f t="shared" si="17"/>
        <v>1.1130434782608696</v>
      </c>
      <c r="T122">
        <f t="shared" si="18"/>
        <v>1311360</v>
      </c>
      <c r="Z122" t="str">
        <f t="shared" si="19"/>
        <v>No</v>
      </c>
    </row>
    <row r="123" spans="1:26" ht="13.5" customHeight="1" x14ac:dyDescent="0.3">
      <c r="A123" s="2" t="s">
        <v>197</v>
      </c>
      <c r="B123" s="3" t="s">
        <v>106</v>
      </c>
      <c r="C123" s="3" t="s">
        <v>49</v>
      </c>
      <c r="D123" s="3" t="s">
        <v>53</v>
      </c>
      <c r="E123" s="4">
        <v>10338</v>
      </c>
      <c r="F123" s="2">
        <v>60</v>
      </c>
      <c r="G123" s="2">
        <v>56</v>
      </c>
      <c r="H123" s="5">
        <v>45371</v>
      </c>
      <c r="I123" s="5">
        <v>45442</v>
      </c>
      <c r="J123" s="2">
        <v>84</v>
      </c>
      <c r="K123" s="3" t="s">
        <v>28</v>
      </c>
      <c r="L123" s="2">
        <v>63</v>
      </c>
      <c r="M123" s="2" t="s">
        <v>29</v>
      </c>
      <c r="N123" t="str">
        <f t="shared" si="12"/>
        <v>Recorded</v>
      </c>
      <c r="O123" t="str">
        <f t="shared" si="13"/>
        <v>Recorded</v>
      </c>
      <c r="P123" t="str">
        <f t="shared" ca="1" si="14"/>
        <v>Expired</v>
      </c>
      <c r="Q123" s="9">
        <f t="shared" ca="1" si="15"/>
        <v>-770</v>
      </c>
      <c r="R123" t="str">
        <f t="shared" ca="1" si="16"/>
        <v>Expired</v>
      </c>
      <c r="S123" s="10">
        <f t="shared" si="17"/>
        <v>0.7142857142857143</v>
      </c>
      <c r="T123">
        <f t="shared" si="18"/>
        <v>620280</v>
      </c>
      <c r="Z123" t="str">
        <f t="shared" si="19"/>
        <v>No</v>
      </c>
    </row>
    <row r="124" spans="1:26" ht="13.5" customHeight="1" x14ac:dyDescent="0.3">
      <c r="A124" s="2" t="s">
        <v>198</v>
      </c>
      <c r="B124" s="3" t="s">
        <v>42</v>
      </c>
      <c r="C124" s="3" t="s">
        <v>27</v>
      </c>
      <c r="D124" s="3" t="s">
        <v>43</v>
      </c>
      <c r="E124" s="4">
        <v>175</v>
      </c>
      <c r="F124" s="2">
        <v>434</v>
      </c>
      <c r="G124" s="2">
        <v>54</v>
      </c>
      <c r="H124" s="5">
        <v>45563</v>
      </c>
      <c r="I124" s="5">
        <v>46028</v>
      </c>
      <c r="J124" s="2">
        <v>26</v>
      </c>
      <c r="K124" s="3" t="s">
        <v>91</v>
      </c>
      <c r="L124" s="2">
        <v>16</v>
      </c>
      <c r="M124" s="2" t="s">
        <v>18</v>
      </c>
      <c r="N124" t="str">
        <f t="shared" si="12"/>
        <v>Recorded</v>
      </c>
      <c r="O124" t="str">
        <f t="shared" si="13"/>
        <v>Recorded</v>
      </c>
      <c r="P124" t="str">
        <f t="shared" ca="1" si="14"/>
        <v>Expired</v>
      </c>
      <c r="Q124" s="9">
        <f t="shared" ca="1" si="15"/>
        <v>-184</v>
      </c>
      <c r="R124" t="str">
        <f t="shared" ca="1" si="16"/>
        <v>Expired</v>
      </c>
      <c r="S124" s="10">
        <f t="shared" si="17"/>
        <v>16.692307692307693</v>
      </c>
      <c r="T124">
        <f t="shared" si="18"/>
        <v>75950</v>
      </c>
      <c r="Z124" t="str">
        <f t="shared" si="19"/>
        <v>No</v>
      </c>
    </row>
    <row r="125" spans="1:26" ht="13.5" customHeight="1" x14ac:dyDescent="0.3">
      <c r="A125" s="2" t="s">
        <v>199</v>
      </c>
      <c r="B125" s="3" t="s">
        <v>26</v>
      </c>
      <c r="C125" s="3" t="s">
        <v>27</v>
      </c>
      <c r="D125" s="3" t="s">
        <v>53</v>
      </c>
      <c r="E125" s="4">
        <v>43634</v>
      </c>
      <c r="F125" s="2">
        <v>270</v>
      </c>
      <c r="G125" s="2">
        <v>38</v>
      </c>
      <c r="H125" s="5">
        <v>45396</v>
      </c>
      <c r="I125" s="5">
        <v>45749</v>
      </c>
      <c r="J125" s="2">
        <v>115</v>
      </c>
      <c r="K125" s="3" t="s">
        <v>23</v>
      </c>
      <c r="L125" s="2">
        <v>81</v>
      </c>
      <c r="M125" s="2" t="s">
        <v>18</v>
      </c>
      <c r="N125" t="str">
        <f t="shared" si="12"/>
        <v>Recorded</v>
      </c>
      <c r="O125" t="str">
        <f t="shared" si="13"/>
        <v>Recorded</v>
      </c>
      <c r="P125" t="str">
        <f t="shared" ca="1" si="14"/>
        <v>Expired</v>
      </c>
      <c r="Q125" s="9">
        <f t="shared" ca="1" si="15"/>
        <v>-463</v>
      </c>
      <c r="R125" t="str">
        <f t="shared" ca="1" si="16"/>
        <v>Expired</v>
      </c>
      <c r="S125" s="10">
        <f t="shared" si="17"/>
        <v>2.347826086956522</v>
      </c>
      <c r="T125">
        <f t="shared" si="18"/>
        <v>11781180</v>
      </c>
      <c r="Z125" t="str">
        <f t="shared" si="19"/>
        <v>No</v>
      </c>
    </row>
    <row r="126" spans="1:26" ht="13.5" customHeight="1" x14ac:dyDescent="0.3">
      <c r="A126" s="2" t="s">
        <v>200</v>
      </c>
      <c r="B126" s="3" t="s">
        <v>84</v>
      </c>
      <c r="C126" s="3" t="s">
        <v>27</v>
      </c>
      <c r="D126" s="3" t="s">
        <v>43</v>
      </c>
      <c r="E126" s="4">
        <v>27766</v>
      </c>
      <c r="F126" s="2"/>
      <c r="G126" s="2">
        <v>28</v>
      </c>
      <c r="H126" s="5">
        <v>45292</v>
      </c>
      <c r="I126" s="5">
        <v>45831</v>
      </c>
      <c r="J126" s="2">
        <v>72</v>
      </c>
      <c r="K126" s="3" t="s">
        <v>17</v>
      </c>
      <c r="L126" s="2">
        <v>44</v>
      </c>
      <c r="M126" s="2" t="s">
        <v>18</v>
      </c>
      <c r="N126" t="str">
        <f t="shared" si="12"/>
        <v>Recorded</v>
      </c>
      <c r="O126" t="str">
        <f t="shared" si="13"/>
        <v>Missing</v>
      </c>
      <c r="P126" t="str">
        <f t="shared" ca="1" si="14"/>
        <v>Expired</v>
      </c>
      <c r="Q126" s="9">
        <f t="shared" ca="1" si="15"/>
        <v>-381</v>
      </c>
      <c r="R126" t="str">
        <f t="shared" ca="1" si="16"/>
        <v>Expired</v>
      </c>
      <c r="S126" s="10">
        <f t="shared" si="17"/>
        <v>0</v>
      </c>
      <c r="T126">
        <f t="shared" si="18"/>
        <v>0</v>
      </c>
      <c r="Z126" t="str">
        <f t="shared" si="19"/>
        <v>Yes</v>
      </c>
    </row>
    <row r="127" spans="1:26" ht="13.5" customHeight="1" x14ac:dyDescent="0.3">
      <c r="A127" s="2" t="s">
        <v>201</v>
      </c>
      <c r="B127" s="3" t="s">
        <v>68</v>
      </c>
      <c r="C127" s="3" t="s">
        <v>40</v>
      </c>
      <c r="D127" s="3" t="s">
        <v>22</v>
      </c>
      <c r="E127" s="4">
        <v>44549</v>
      </c>
      <c r="F127" s="2">
        <v>282</v>
      </c>
      <c r="G127" s="2">
        <v>32</v>
      </c>
      <c r="H127" s="5">
        <v>45407</v>
      </c>
      <c r="I127" s="5">
        <v>45742</v>
      </c>
      <c r="J127" s="2">
        <v>122</v>
      </c>
      <c r="K127" s="3" t="s">
        <v>91</v>
      </c>
      <c r="L127" s="2">
        <v>74</v>
      </c>
      <c r="M127" s="2" t="s">
        <v>251</v>
      </c>
      <c r="N127" t="str">
        <f t="shared" si="12"/>
        <v>Recorded</v>
      </c>
      <c r="O127" t="str">
        <f t="shared" si="13"/>
        <v>Recorded</v>
      </c>
      <c r="P127" t="str">
        <f t="shared" ca="1" si="14"/>
        <v>Expired</v>
      </c>
      <c r="Q127" s="9">
        <f t="shared" ca="1" si="15"/>
        <v>-470</v>
      </c>
      <c r="R127" t="str">
        <f t="shared" ca="1" si="16"/>
        <v>Expired</v>
      </c>
      <c r="S127" s="10">
        <f t="shared" si="17"/>
        <v>2.3114754098360657</v>
      </c>
      <c r="T127">
        <f t="shared" si="18"/>
        <v>12562818</v>
      </c>
      <c r="Z127" t="str">
        <f t="shared" si="19"/>
        <v>No</v>
      </c>
    </row>
    <row r="128" spans="1:26" ht="13.5" customHeight="1" x14ac:dyDescent="0.3">
      <c r="A128" s="2" t="s">
        <v>202</v>
      </c>
      <c r="B128" s="3" t="s">
        <v>129</v>
      </c>
      <c r="C128" s="3" t="s">
        <v>130</v>
      </c>
      <c r="D128" s="3" t="s">
        <v>22</v>
      </c>
      <c r="E128" s="2"/>
      <c r="F128" s="2">
        <v>266</v>
      </c>
      <c r="G128" s="2">
        <v>66</v>
      </c>
      <c r="H128" s="5">
        <v>45320</v>
      </c>
      <c r="I128" s="5">
        <v>46352</v>
      </c>
      <c r="J128" s="2">
        <v>186</v>
      </c>
      <c r="K128" s="3" t="s">
        <v>36</v>
      </c>
      <c r="L128" s="2">
        <v>109</v>
      </c>
      <c r="M128" s="2" t="s">
        <v>29</v>
      </c>
      <c r="N128" t="str">
        <f t="shared" si="12"/>
        <v>Missing</v>
      </c>
      <c r="O128" t="str">
        <f t="shared" si="13"/>
        <v>Recorded</v>
      </c>
      <c r="P128" t="str">
        <f t="shared" ca="1" si="14"/>
        <v>Active</v>
      </c>
      <c r="Q128" s="9">
        <f t="shared" ca="1" si="15"/>
        <v>140</v>
      </c>
      <c r="R128" t="str">
        <f t="shared" ca="1" si="16"/>
        <v>OK</v>
      </c>
      <c r="S128" s="10">
        <f t="shared" si="17"/>
        <v>1.4301075268817205</v>
      </c>
      <c r="T128">
        <f t="shared" si="18"/>
        <v>0</v>
      </c>
      <c r="Z128" t="str">
        <f t="shared" si="19"/>
        <v>No</v>
      </c>
    </row>
    <row r="129" spans="1:26" ht="13.5" customHeight="1" x14ac:dyDescent="0.3">
      <c r="A129" s="2" t="s">
        <v>203</v>
      </c>
      <c r="B129" s="3" t="s">
        <v>59</v>
      </c>
      <c r="C129" s="3" t="s">
        <v>40</v>
      </c>
      <c r="D129" s="3" t="s">
        <v>50</v>
      </c>
      <c r="E129" s="4">
        <v>43367</v>
      </c>
      <c r="F129" s="2">
        <v>394</v>
      </c>
      <c r="G129" s="2">
        <v>65</v>
      </c>
      <c r="H129" s="5">
        <v>45501</v>
      </c>
      <c r="I129" s="5">
        <v>46186</v>
      </c>
      <c r="J129" s="2">
        <v>141</v>
      </c>
      <c r="K129" s="3" t="s">
        <v>17</v>
      </c>
      <c r="L129" s="2">
        <v>39</v>
      </c>
      <c r="M129" s="2" t="s">
        <v>32</v>
      </c>
      <c r="N129" t="str">
        <f t="shared" si="12"/>
        <v>Recorded</v>
      </c>
      <c r="O129" t="str">
        <f t="shared" si="13"/>
        <v>Recorded</v>
      </c>
      <c r="P129" t="str">
        <f t="shared" ca="1" si="14"/>
        <v>Expired</v>
      </c>
      <c r="Q129" s="9">
        <f t="shared" ca="1" si="15"/>
        <v>-26</v>
      </c>
      <c r="R129" t="str">
        <f t="shared" ca="1" si="16"/>
        <v>Expired</v>
      </c>
      <c r="S129" s="10">
        <f t="shared" si="17"/>
        <v>2.7943262411347516</v>
      </c>
      <c r="T129">
        <f t="shared" si="18"/>
        <v>17086598</v>
      </c>
      <c r="Z129" t="str">
        <f t="shared" si="19"/>
        <v>No</v>
      </c>
    </row>
    <row r="130" spans="1:26" ht="13.5" customHeight="1" x14ac:dyDescent="0.3">
      <c r="A130" s="2" t="s">
        <v>204</v>
      </c>
      <c r="B130" s="3" t="s">
        <v>158</v>
      </c>
      <c r="C130" s="3" t="s">
        <v>15</v>
      </c>
      <c r="D130" s="3" t="s">
        <v>50</v>
      </c>
      <c r="E130" s="4">
        <v>24471</v>
      </c>
      <c r="F130" s="2">
        <v>391</v>
      </c>
      <c r="G130" s="2">
        <v>29</v>
      </c>
      <c r="H130" s="5">
        <v>45554</v>
      </c>
      <c r="I130" s="5">
        <v>45386</v>
      </c>
      <c r="J130" s="2">
        <v>85</v>
      </c>
      <c r="K130" s="3" t="s">
        <v>91</v>
      </c>
      <c r="L130" s="2">
        <v>83</v>
      </c>
      <c r="M130" s="2" t="s">
        <v>29</v>
      </c>
      <c r="N130" t="str">
        <f t="shared" si="12"/>
        <v>Recorded</v>
      </c>
      <c r="O130" t="str">
        <f t="shared" si="13"/>
        <v>Recorded</v>
      </c>
      <c r="P130" t="str">
        <f t="shared" ca="1" si="14"/>
        <v>Expired</v>
      </c>
      <c r="Q130" s="9">
        <f t="shared" ca="1" si="15"/>
        <v>-826</v>
      </c>
      <c r="R130" t="str">
        <f t="shared" ca="1" si="16"/>
        <v>Expired</v>
      </c>
      <c r="S130" s="10">
        <f t="shared" si="17"/>
        <v>4.5999999999999996</v>
      </c>
      <c r="T130">
        <f t="shared" si="18"/>
        <v>9568161</v>
      </c>
      <c r="Z130" t="str">
        <f t="shared" si="19"/>
        <v>No</v>
      </c>
    </row>
    <row r="131" spans="1:26" ht="13.5" customHeight="1" x14ac:dyDescent="0.3">
      <c r="A131" s="2" t="s">
        <v>205</v>
      </c>
      <c r="B131" s="3" t="s">
        <v>147</v>
      </c>
      <c r="C131" s="3" t="s">
        <v>103</v>
      </c>
      <c r="D131" s="3" t="s">
        <v>16</v>
      </c>
      <c r="E131" s="4">
        <v>29020</v>
      </c>
      <c r="F131" s="2">
        <v>99</v>
      </c>
      <c r="G131" s="2">
        <v>56</v>
      </c>
      <c r="H131" s="5">
        <v>45493</v>
      </c>
      <c r="I131" s="5">
        <v>46248</v>
      </c>
      <c r="J131" s="2">
        <v>23</v>
      </c>
      <c r="K131" s="3" t="s">
        <v>36</v>
      </c>
      <c r="L131" s="2">
        <v>3</v>
      </c>
      <c r="M131" s="2" t="s">
        <v>18</v>
      </c>
      <c r="N131" t="str">
        <f t="shared" ref="N131:N151" si="20">IF(E131 ="","Missing","Recorded")</f>
        <v>Recorded</v>
      </c>
      <c r="O131" t="str">
        <f t="shared" ref="O131:O151" si="21">IF(F131 ="","Missing","Recorded")</f>
        <v>Recorded</v>
      </c>
      <c r="P131" t="str">
        <f t="shared" ref="P131:P151" ca="1" si="22">IF(I131&lt;TODAY(),"Expired","Active")</f>
        <v>Active</v>
      </c>
      <c r="Q131" s="9">
        <f t="shared" ref="Q131:Q151" ca="1" si="23">I131-TODAY()</f>
        <v>36</v>
      </c>
      <c r="R131" t="str">
        <f t="shared" ref="R131:R151" ca="1" si="24">IF(Q131&lt;0,"Expired",IF(Q131&lt;=90,"Expiring Soon","OK"))</f>
        <v>Expiring Soon</v>
      </c>
      <c r="S131" s="10">
        <f t="shared" ref="S131:S151" si="25">IFERROR(F131/J131,"N/A")</f>
        <v>4.3043478260869561</v>
      </c>
      <c r="T131">
        <f t="shared" ref="T131:T151" si="26">IFERROR(E131*F131,0)</f>
        <v>2872980</v>
      </c>
      <c r="Z131" t="str">
        <f t="shared" ref="Z131:Z151" si="27">IF(F131&lt;G131,"Yes","No")</f>
        <v>No</v>
      </c>
    </row>
    <row r="132" spans="1:26" ht="13.5" customHeight="1" x14ac:dyDescent="0.3">
      <c r="A132" s="2" t="s">
        <v>206</v>
      </c>
      <c r="B132" s="3" t="s">
        <v>75</v>
      </c>
      <c r="C132" s="3" t="s">
        <v>76</v>
      </c>
      <c r="D132" s="3" t="s">
        <v>50</v>
      </c>
      <c r="E132" s="4">
        <v>41080</v>
      </c>
      <c r="F132" s="2">
        <v>156</v>
      </c>
      <c r="G132" s="2">
        <v>26</v>
      </c>
      <c r="H132" s="5">
        <v>45344</v>
      </c>
      <c r="I132" s="5">
        <v>46301</v>
      </c>
      <c r="J132" s="2">
        <v>36</v>
      </c>
      <c r="K132" s="3" t="s">
        <v>17</v>
      </c>
      <c r="L132" s="2">
        <v>2</v>
      </c>
      <c r="M132" s="2" t="s">
        <v>18</v>
      </c>
      <c r="N132" t="str">
        <f t="shared" si="20"/>
        <v>Recorded</v>
      </c>
      <c r="O132" t="str">
        <f t="shared" si="21"/>
        <v>Recorded</v>
      </c>
      <c r="P132" t="str">
        <f t="shared" ca="1" si="22"/>
        <v>Active</v>
      </c>
      <c r="Q132" s="9">
        <f t="shared" ca="1" si="23"/>
        <v>89</v>
      </c>
      <c r="R132" t="str">
        <f t="shared" ca="1" si="24"/>
        <v>Expiring Soon</v>
      </c>
      <c r="S132" s="10">
        <f t="shared" si="25"/>
        <v>4.333333333333333</v>
      </c>
      <c r="T132">
        <f t="shared" si="26"/>
        <v>6408480</v>
      </c>
      <c r="Z132" t="str">
        <f t="shared" si="27"/>
        <v>No</v>
      </c>
    </row>
    <row r="133" spans="1:26" ht="13.5" customHeight="1" x14ac:dyDescent="0.3">
      <c r="A133" s="2" t="s">
        <v>207</v>
      </c>
      <c r="B133" s="3" t="s">
        <v>125</v>
      </c>
      <c r="C133" s="3" t="s">
        <v>126</v>
      </c>
      <c r="D133" s="3" t="s">
        <v>16</v>
      </c>
      <c r="E133" s="4">
        <v>40398</v>
      </c>
      <c r="F133" s="2">
        <v>16</v>
      </c>
      <c r="G133" s="2">
        <v>24</v>
      </c>
      <c r="H133" s="5">
        <v>45400</v>
      </c>
      <c r="I133" s="5">
        <v>45711</v>
      </c>
      <c r="J133" s="2">
        <v>163</v>
      </c>
      <c r="K133" s="3" t="s">
        <v>91</v>
      </c>
      <c r="L133" s="2">
        <v>11</v>
      </c>
      <c r="M133" s="2" t="s">
        <v>32</v>
      </c>
      <c r="N133" t="str">
        <f t="shared" si="20"/>
        <v>Recorded</v>
      </c>
      <c r="O133" t="str">
        <f t="shared" si="21"/>
        <v>Recorded</v>
      </c>
      <c r="P133" t="str">
        <f t="shared" ca="1" si="22"/>
        <v>Expired</v>
      </c>
      <c r="Q133" s="9">
        <f t="shared" ca="1" si="23"/>
        <v>-501</v>
      </c>
      <c r="R133" t="str">
        <f t="shared" ca="1" si="24"/>
        <v>Expired</v>
      </c>
      <c r="S133" s="10">
        <f t="shared" si="25"/>
        <v>9.815950920245399E-2</v>
      </c>
      <c r="T133">
        <f t="shared" si="26"/>
        <v>646368</v>
      </c>
      <c r="Z133" t="str">
        <f t="shared" si="27"/>
        <v>Yes</v>
      </c>
    </row>
    <row r="134" spans="1:26" ht="13.5" customHeight="1" x14ac:dyDescent="0.3">
      <c r="A134" s="2" t="s">
        <v>208</v>
      </c>
      <c r="B134" s="3" t="s">
        <v>70</v>
      </c>
      <c r="C134" s="3" t="s">
        <v>15</v>
      </c>
      <c r="D134" s="3" t="s">
        <v>22</v>
      </c>
      <c r="E134" s="4">
        <v>34686</v>
      </c>
      <c r="F134" s="2">
        <v>356</v>
      </c>
      <c r="G134" s="2">
        <v>31</v>
      </c>
      <c r="H134" s="5">
        <v>45390</v>
      </c>
      <c r="I134" s="5">
        <v>45745</v>
      </c>
      <c r="J134" s="2">
        <v>197</v>
      </c>
      <c r="K134" s="3" t="s">
        <v>17</v>
      </c>
      <c r="L134" s="2">
        <v>7</v>
      </c>
      <c r="M134" s="2" t="s">
        <v>18</v>
      </c>
      <c r="N134" t="str">
        <f t="shared" si="20"/>
        <v>Recorded</v>
      </c>
      <c r="O134" t="str">
        <f t="shared" si="21"/>
        <v>Recorded</v>
      </c>
      <c r="P134" t="str">
        <f t="shared" ca="1" si="22"/>
        <v>Expired</v>
      </c>
      <c r="Q134" s="9">
        <f t="shared" ca="1" si="23"/>
        <v>-467</v>
      </c>
      <c r="R134" t="str">
        <f t="shared" ca="1" si="24"/>
        <v>Expired</v>
      </c>
      <c r="S134" s="10">
        <f t="shared" si="25"/>
        <v>1.8071065989847717</v>
      </c>
      <c r="T134">
        <f t="shared" si="26"/>
        <v>12348216</v>
      </c>
      <c r="Z134" t="str">
        <f t="shared" si="27"/>
        <v>No</v>
      </c>
    </row>
    <row r="135" spans="1:26" ht="13.5" customHeight="1" x14ac:dyDescent="0.3">
      <c r="A135" s="2" t="s">
        <v>209</v>
      </c>
      <c r="B135" s="3" t="s">
        <v>65</v>
      </c>
      <c r="C135" s="3" t="s">
        <v>66</v>
      </c>
      <c r="D135" s="3" t="s">
        <v>43</v>
      </c>
      <c r="E135" s="4">
        <v>16119</v>
      </c>
      <c r="F135" s="2">
        <v>161</v>
      </c>
      <c r="G135" s="2">
        <v>53</v>
      </c>
      <c r="H135" s="5">
        <v>45550</v>
      </c>
      <c r="I135" s="5">
        <v>45408</v>
      </c>
      <c r="J135" s="2">
        <v>97</v>
      </c>
      <c r="K135" s="3" t="s">
        <v>36</v>
      </c>
      <c r="L135" s="2">
        <v>83</v>
      </c>
      <c r="M135" s="2" t="s">
        <v>29</v>
      </c>
      <c r="N135" t="str">
        <f t="shared" si="20"/>
        <v>Recorded</v>
      </c>
      <c r="O135" t="str">
        <f t="shared" si="21"/>
        <v>Recorded</v>
      </c>
      <c r="P135" t="str">
        <f t="shared" ca="1" si="22"/>
        <v>Expired</v>
      </c>
      <c r="Q135" s="9">
        <f t="shared" ca="1" si="23"/>
        <v>-804</v>
      </c>
      <c r="R135" t="str">
        <f t="shared" ca="1" si="24"/>
        <v>Expired</v>
      </c>
      <c r="S135" s="10">
        <f t="shared" si="25"/>
        <v>1.6597938144329898</v>
      </c>
      <c r="T135">
        <f t="shared" si="26"/>
        <v>2595159</v>
      </c>
      <c r="Z135" t="str">
        <f t="shared" si="27"/>
        <v>No</v>
      </c>
    </row>
    <row r="136" spans="1:26" ht="13.5" customHeight="1" x14ac:dyDescent="0.3">
      <c r="A136" s="2" t="s">
        <v>210</v>
      </c>
      <c r="B136" s="3" t="s">
        <v>61</v>
      </c>
      <c r="C136" s="3" t="s">
        <v>62</v>
      </c>
      <c r="D136" s="3" t="s">
        <v>50</v>
      </c>
      <c r="E136" s="4">
        <v>31343</v>
      </c>
      <c r="F136" s="2">
        <v>492</v>
      </c>
      <c r="G136" s="2">
        <v>32</v>
      </c>
      <c r="H136" s="5">
        <v>45544</v>
      </c>
      <c r="I136" s="5">
        <v>45356</v>
      </c>
      <c r="J136" s="2">
        <v>27</v>
      </c>
      <c r="K136" s="3" t="s">
        <v>17</v>
      </c>
      <c r="L136" s="2">
        <v>14</v>
      </c>
      <c r="M136" s="2" t="s">
        <v>29</v>
      </c>
      <c r="N136" t="str">
        <f t="shared" si="20"/>
        <v>Recorded</v>
      </c>
      <c r="O136" t="str">
        <f t="shared" si="21"/>
        <v>Recorded</v>
      </c>
      <c r="P136" t="str">
        <f t="shared" ca="1" si="22"/>
        <v>Expired</v>
      </c>
      <c r="Q136" s="9">
        <f t="shared" ca="1" si="23"/>
        <v>-856</v>
      </c>
      <c r="R136" t="str">
        <f t="shared" ca="1" si="24"/>
        <v>Expired</v>
      </c>
      <c r="S136" s="10">
        <f t="shared" si="25"/>
        <v>18.222222222222221</v>
      </c>
      <c r="T136">
        <f t="shared" si="26"/>
        <v>15420756</v>
      </c>
      <c r="Z136" t="str">
        <f t="shared" si="27"/>
        <v>No</v>
      </c>
    </row>
    <row r="137" spans="1:26" ht="13.5" customHeight="1" x14ac:dyDescent="0.3">
      <c r="A137" s="2" t="s">
        <v>211</v>
      </c>
      <c r="B137" s="3" t="s">
        <v>59</v>
      </c>
      <c r="C137" s="3" t="s">
        <v>40</v>
      </c>
      <c r="D137" s="3" t="s">
        <v>16</v>
      </c>
      <c r="E137" s="4">
        <v>25395</v>
      </c>
      <c r="F137" s="2">
        <v>446</v>
      </c>
      <c r="G137" s="2">
        <v>50</v>
      </c>
      <c r="H137" s="5">
        <v>45480</v>
      </c>
      <c r="I137" s="5">
        <v>45734</v>
      </c>
      <c r="J137" s="2">
        <v>187</v>
      </c>
      <c r="K137" s="3" t="s">
        <v>91</v>
      </c>
      <c r="L137" s="2">
        <v>154</v>
      </c>
      <c r="M137" s="2" t="s">
        <v>18</v>
      </c>
      <c r="N137" t="str">
        <f t="shared" si="20"/>
        <v>Recorded</v>
      </c>
      <c r="O137" t="str">
        <f t="shared" si="21"/>
        <v>Recorded</v>
      </c>
      <c r="P137" t="str">
        <f t="shared" ca="1" si="22"/>
        <v>Expired</v>
      </c>
      <c r="Q137" s="9">
        <f t="shared" ca="1" si="23"/>
        <v>-478</v>
      </c>
      <c r="R137" t="str">
        <f t="shared" ca="1" si="24"/>
        <v>Expired</v>
      </c>
      <c r="S137" s="10">
        <f t="shared" si="25"/>
        <v>2.3850267379679146</v>
      </c>
      <c r="T137">
        <f t="shared" si="26"/>
        <v>11326170</v>
      </c>
      <c r="Z137" t="str">
        <f t="shared" si="27"/>
        <v>No</v>
      </c>
    </row>
    <row r="138" spans="1:26" ht="13.5" customHeight="1" x14ac:dyDescent="0.3">
      <c r="A138" s="2" t="s">
        <v>212</v>
      </c>
      <c r="B138" s="3" t="s">
        <v>45</v>
      </c>
      <c r="C138" s="3" t="s">
        <v>46</v>
      </c>
      <c r="D138" s="3" t="s">
        <v>16</v>
      </c>
      <c r="E138" s="4">
        <v>29622</v>
      </c>
      <c r="F138" s="2">
        <v>485</v>
      </c>
      <c r="G138" s="2">
        <v>41</v>
      </c>
      <c r="H138" s="5">
        <v>45554</v>
      </c>
      <c r="I138" s="5">
        <v>45689</v>
      </c>
      <c r="J138" s="2">
        <v>63</v>
      </c>
      <c r="K138" s="3" t="s">
        <v>23</v>
      </c>
      <c r="L138" s="2">
        <v>1</v>
      </c>
      <c r="M138" s="2" t="s">
        <v>18</v>
      </c>
      <c r="N138" t="str">
        <f t="shared" si="20"/>
        <v>Recorded</v>
      </c>
      <c r="O138" t="str">
        <f t="shared" si="21"/>
        <v>Recorded</v>
      </c>
      <c r="P138" t="str">
        <f t="shared" ca="1" si="22"/>
        <v>Expired</v>
      </c>
      <c r="Q138" s="9">
        <f t="shared" ca="1" si="23"/>
        <v>-523</v>
      </c>
      <c r="R138" t="str">
        <f t="shared" ca="1" si="24"/>
        <v>Expired</v>
      </c>
      <c r="S138" s="10">
        <f t="shared" si="25"/>
        <v>7.6984126984126986</v>
      </c>
      <c r="T138">
        <f t="shared" si="26"/>
        <v>14366670</v>
      </c>
      <c r="Z138" t="str">
        <f t="shared" si="27"/>
        <v>No</v>
      </c>
    </row>
    <row r="139" spans="1:26" ht="13.5" customHeight="1" x14ac:dyDescent="0.3">
      <c r="A139" s="2" t="s">
        <v>213</v>
      </c>
      <c r="B139" s="3" t="s">
        <v>34</v>
      </c>
      <c r="C139" s="3" t="s">
        <v>35</v>
      </c>
      <c r="D139" s="3" t="s">
        <v>43</v>
      </c>
      <c r="E139" s="4">
        <v>18907</v>
      </c>
      <c r="F139" s="2">
        <v>233</v>
      </c>
      <c r="G139" s="2">
        <v>41</v>
      </c>
      <c r="H139" s="5">
        <v>45555</v>
      </c>
      <c r="I139" s="5">
        <v>46148</v>
      </c>
      <c r="J139" s="2">
        <v>115</v>
      </c>
      <c r="K139" s="3" t="s">
        <v>91</v>
      </c>
      <c r="L139" s="2">
        <v>114</v>
      </c>
      <c r="M139" s="2" t="s">
        <v>18</v>
      </c>
      <c r="N139" t="str">
        <f t="shared" si="20"/>
        <v>Recorded</v>
      </c>
      <c r="O139" t="str">
        <f t="shared" si="21"/>
        <v>Recorded</v>
      </c>
      <c r="P139" t="str">
        <f t="shared" ca="1" si="22"/>
        <v>Expired</v>
      </c>
      <c r="Q139" s="9">
        <f t="shared" ca="1" si="23"/>
        <v>-64</v>
      </c>
      <c r="R139" t="str">
        <f t="shared" ca="1" si="24"/>
        <v>Expired</v>
      </c>
      <c r="S139" s="10">
        <f t="shared" si="25"/>
        <v>2.026086956521739</v>
      </c>
      <c r="T139">
        <f t="shared" si="26"/>
        <v>4405331</v>
      </c>
      <c r="Z139" t="str">
        <f t="shared" si="27"/>
        <v>No</v>
      </c>
    </row>
    <row r="140" spans="1:26" ht="13.5" customHeight="1" x14ac:dyDescent="0.3">
      <c r="A140" s="2" t="s">
        <v>214</v>
      </c>
      <c r="B140" s="3" t="s">
        <v>73</v>
      </c>
      <c r="C140" s="3" t="s">
        <v>40</v>
      </c>
      <c r="D140" s="3" t="s">
        <v>22</v>
      </c>
      <c r="E140" s="4">
        <v>44210</v>
      </c>
      <c r="F140" s="2">
        <v>63</v>
      </c>
      <c r="G140" s="2">
        <v>78</v>
      </c>
      <c r="H140" s="5">
        <v>45397</v>
      </c>
      <c r="I140" s="5">
        <v>46072</v>
      </c>
      <c r="J140" s="2">
        <v>158</v>
      </c>
      <c r="K140" s="3" t="s">
        <v>17</v>
      </c>
      <c r="L140" s="2">
        <v>9</v>
      </c>
      <c r="M140" s="2" t="s">
        <v>32</v>
      </c>
      <c r="N140" t="str">
        <f t="shared" si="20"/>
        <v>Recorded</v>
      </c>
      <c r="O140" t="str">
        <f t="shared" si="21"/>
        <v>Recorded</v>
      </c>
      <c r="P140" t="str">
        <f t="shared" ca="1" si="22"/>
        <v>Expired</v>
      </c>
      <c r="Q140" s="9">
        <f t="shared" ca="1" si="23"/>
        <v>-140</v>
      </c>
      <c r="R140" t="str">
        <f t="shared" ca="1" si="24"/>
        <v>Expired</v>
      </c>
      <c r="S140" s="10">
        <f t="shared" si="25"/>
        <v>0.39873417721518989</v>
      </c>
      <c r="T140">
        <f t="shared" si="26"/>
        <v>2785230</v>
      </c>
      <c r="Z140" t="str">
        <f t="shared" si="27"/>
        <v>Yes</v>
      </c>
    </row>
    <row r="141" spans="1:26" ht="13.5" customHeight="1" x14ac:dyDescent="0.3">
      <c r="A141" s="2" t="s">
        <v>215</v>
      </c>
      <c r="B141" s="3" t="s">
        <v>34</v>
      </c>
      <c r="C141" s="3" t="s">
        <v>35</v>
      </c>
      <c r="D141" s="3" t="s">
        <v>53</v>
      </c>
      <c r="E141" s="4">
        <v>43651</v>
      </c>
      <c r="F141" s="2">
        <v>164</v>
      </c>
      <c r="G141" s="2">
        <v>61</v>
      </c>
      <c r="H141" s="5">
        <v>45522</v>
      </c>
      <c r="I141" s="5">
        <v>46012</v>
      </c>
      <c r="J141" s="2">
        <v>42</v>
      </c>
      <c r="K141" s="3" t="s">
        <v>23</v>
      </c>
      <c r="L141" s="2">
        <v>21</v>
      </c>
      <c r="M141" s="2" t="s">
        <v>18</v>
      </c>
      <c r="N141" t="str">
        <f t="shared" si="20"/>
        <v>Recorded</v>
      </c>
      <c r="O141" t="str">
        <f t="shared" si="21"/>
        <v>Recorded</v>
      </c>
      <c r="P141" t="str">
        <f t="shared" ca="1" si="22"/>
        <v>Expired</v>
      </c>
      <c r="Q141" s="9">
        <f t="shared" ca="1" si="23"/>
        <v>-200</v>
      </c>
      <c r="R141" t="str">
        <f t="shared" ca="1" si="24"/>
        <v>Expired</v>
      </c>
      <c r="S141" s="10">
        <f t="shared" si="25"/>
        <v>3.9047619047619047</v>
      </c>
      <c r="T141">
        <f t="shared" si="26"/>
        <v>7158764</v>
      </c>
      <c r="Z141" t="str">
        <f t="shared" si="27"/>
        <v>No</v>
      </c>
    </row>
    <row r="142" spans="1:26" ht="13.5" customHeight="1" x14ac:dyDescent="0.3">
      <c r="A142" s="2" t="s">
        <v>216</v>
      </c>
      <c r="B142" s="3" t="s">
        <v>158</v>
      </c>
      <c r="C142" s="3" t="s">
        <v>15</v>
      </c>
      <c r="D142" s="3" t="s">
        <v>53</v>
      </c>
      <c r="E142" s="4">
        <v>29425</v>
      </c>
      <c r="F142" s="2">
        <v>316</v>
      </c>
      <c r="G142" s="2">
        <v>27</v>
      </c>
      <c r="H142" s="5">
        <v>45475</v>
      </c>
      <c r="I142" s="5">
        <v>45748</v>
      </c>
      <c r="J142" s="2">
        <v>71</v>
      </c>
      <c r="K142" s="3" t="s">
        <v>23</v>
      </c>
      <c r="L142" s="2">
        <v>42</v>
      </c>
      <c r="M142" s="2" t="s">
        <v>18</v>
      </c>
      <c r="N142" t="str">
        <f t="shared" si="20"/>
        <v>Recorded</v>
      </c>
      <c r="O142" t="str">
        <f t="shared" si="21"/>
        <v>Recorded</v>
      </c>
      <c r="P142" t="str">
        <f t="shared" ca="1" si="22"/>
        <v>Expired</v>
      </c>
      <c r="Q142" s="9">
        <f t="shared" ca="1" si="23"/>
        <v>-464</v>
      </c>
      <c r="R142" t="str">
        <f t="shared" ca="1" si="24"/>
        <v>Expired</v>
      </c>
      <c r="S142" s="10">
        <f t="shared" si="25"/>
        <v>4.450704225352113</v>
      </c>
      <c r="T142">
        <f t="shared" si="26"/>
        <v>9298300</v>
      </c>
      <c r="Z142" t="str">
        <f t="shared" si="27"/>
        <v>No</v>
      </c>
    </row>
    <row r="143" spans="1:26" ht="13.5" customHeight="1" x14ac:dyDescent="0.3">
      <c r="A143" s="2" t="s">
        <v>217</v>
      </c>
      <c r="B143" s="3" t="s">
        <v>31</v>
      </c>
      <c r="C143" s="3" t="s">
        <v>27</v>
      </c>
      <c r="D143" s="3" t="s">
        <v>53</v>
      </c>
      <c r="E143" s="4">
        <v>1106</v>
      </c>
      <c r="F143" s="2">
        <v>283</v>
      </c>
      <c r="G143" s="2">
        <v>33</v>
      </c>
      <c r="H143" s="5">
        <v>45429</v>
      </c>
      <c r="I143" s="5">
        <v>45718</v>
      </c>
      <c r="J143" s="2">
        <v>50</v>
      </c>
      <c r="K143" s="3" t="s">
        <v>91</v>
      </c>
      <c r="L143" s="2">
        <v>29</v>
      </c>
      <c r="M143" s="2" t="s">
        <v>18</v>
      </c>
      <c r="N143" t="str">
        <f t="shared" si="20"/>
        <v>Recorded</v>
      </c>
      <c r="O143" t="str">
        <f t="shared" si="21"/>
        <v>Recorded</v>
      </c>
      <c r="P143" t="str">
        <f t="shared" ca="1" si="22"/>
        <v>Expired</v>
      </c>
      <c r="Q143" s="9">
        <f t="shared" ca="1" si="23"/>
        <v>-494</v>
      </c>
      <c r="R143" t="str">
        <f t="shared" ca="1" si="24"/>
        <v>Expired</v>
      </c>
      <c r="S143" s="10">
        <f t="shared" si="25"/>
        <v>5.66</v>
      </c>
      <c r="T143">
        <f t="shared" si="26"/>
        <v>312998</v>
      </c>
      <c r="Z143" t="str">
        <f t="shared" si="27"/>
        <v>No</v>
      </c>
    </row>
    <row r="144" spans="1:26" ht="13.5" customHeight="1" x14ac:dyDescent="0.3">
      <c r="A144" s="2" t="s">
        <v>218</v>
      </c>
      <c r="B144" s="3" t="s">
        <v>75</v>
      </c>
      <c r="C144" s="3" t="s">
        <v>76</v>
      </c>
      <c r="D144" s="3" t="s">
        <v>43</v>
      </c>
      <c r="E144" s="4">
        <v>31738</v>
      </c>
      <c r="F144" s="2">
        <v>457</v>
      </c>
      <c r="G144" s="2">
        <v>35</v>
      </c>
      <c r="H144" s="5">
        <v>45345</v>
      </c>
      <c r="I144" s="5">
        <v>45322</v>
      </c>
      <c r="J144" s="2">
        <v>95</v>
      </c>
      <c r="K144" s="3" t="s">
        <v>28</v>
      </c>
      <c r="L144" s="2">
        <v>27</v>
      </c>
      <c r="M144" s="2" t="s">
        <v>29</v>
      </c>
      <c r="N144" t="str">
        <f t="shared" si="20"/>
        <v>Recorded</v>
      </c>
      <c r="O144" t="str">
        <f t="shared" si="21"/>
        <v>Recorded</v>
      </c>
      <c r="P144" t="str">
        <f t="shared" ca="1" si="22"/>
        <v>Expired</v>
      </c>
      <c r="Q144" s="9">
        <f t="shared" ca="1" si="23"/>
        <v>-890</v>
      </c>
      <c r="R144" t="str">
        <f t="shared" ca="1" si="24"/>
        <v>Expired</v>
      </c>
      <c r="S144" s="10">
        <f t="shared" si="25"/>
        <v>4.810526315789474</v>
      </c>
      <c r="T144">
        <f t="shared" si="26"/>
        <v>14504266</v>
      </c>
      <c r="Z144" t="str">
        <f t="shared" si="27"/>
        <v>No</v>
      </c>
    </row>
    <row r="145" spans="1:26" ht="13.5" customHeight="1" x14ac:dyDescent="0.3">
      <c r="A145" s="2" t="s">
        <v>219</v>
      </c>
      <c r="B145" s="3" t="s">
        <v>42</v>
      </c>
      <c r="C145" s="3" t="s">
        <v>27</v>
      </c>
      <c r="D145" s="3" t="s">
        <v>53</v>
      </c>
      <c r="E145" s="4">
        <v>35119</v>
      </c>
      <c r="F145" s="2">
        <v>203</v>
      </c>
      <c r="G145" s="2">
        <v>39</v>
      </c>
      <c r="H145" s="5">
        <v>45368</v>
      </c>
      <c r="I145" s="5">
        <v>45993</v>
      </c>
      <c r="J145" s="2">
        <v>76</v>
      </c>
      <c r="K145" s="3" t="s">
        <v>36</v>
      </c>
      <c r="L145" s="2">
        <v>11</v>
      </c>
      <c r="M145" s="2" t="s">
        <v>18</v>
      </c>
      <c r="N145" t="str">
        <f t="shared" si="20"/>
        <v>Recorded</v>
      </c>
      <c r="O145" t="str">
        <f t="shared" si="21"/>
        <v>Recorded</v>
      </c>
      <c r="P145" t="str">
        <f t="shared" ca="1" si="22"/>
        <v>Expired</v>
      </c>
      <c r="Q145" s="9">
        <f t="shared" ca="1" si="23"/>
        <v>-219</v>
      </c>
      <c r="R145" t="str">
        <f t="shared" ca="1" si="24"/>
        <v>Expired</v>
      </c>
      <c r="S145" s="10">
        <f t="shared" si="25"/>
        <v>2.6710526315789473</v>
      </c>
      <c r="T145">
        <f t="shared" si="26"/>
        <v>7129157</v>
      </c>
      <c r="Z145" t="str">
        <f t="shared" si="27"/>
        <v>No</v>
      </c>
    </row>
    <row r="146" spans="1:26" ht="13.5" customHeight="1" x14ac:dyDescent="0.3">
      <c r="A146" s="2" t="s">
        <v>220</v>
      </c>
      <c r="B146" s="3" t="s">
        <v>68</v>
      </c>
      <c r="C146" s="3" t="s">
        <v>40</v>
      </c>
      <c r="D146" s="3" t="s">
        <v>50</v>
      </c>
      <c r="E146" s="4">
        <v>24133</v>
      </c>
      <c r="F146" s="2">
        <v>127</v>
      </c>
      <c r="G146" s="2">
        <v>66</v>
      </c>
      <c r="H146" s="5">
        <v>45379</v>
      </c>
      <c r="I146" s="5">
        <v>45803</v>
      </c>
      <c r="J146" s="2">
        <v>132</v>
      </c>
      <c r="K146" s="3" t="s">
        <v>23</v>
      </c>
      <c r="L146" s="2">
        <v>0</v>
      </c>
      <c r="M146" s="2" t="s">
        <v>18</v>
      </c>
      <c r="N146" t="str">
        <f t="shared" si="20"/>
        <v>Recorded</v>
      </c>
      <c r="O146" t="str">
        <f t="shared" si="21"/>
        <v>Recorded</v>
      </c>
      <c r="P146" t="str">
        <f t="shared" ca="1" si="22"/>
        <v>Expired</v>
      </c>
      <c r="Q146" s="9">
        <f t="shared" ca="1" si="23"/>
        <v>-409</v>
      </c>
      <c r="R146" t="str">
        <f t="shared" ca="1" si="24"/>
        <v>Expired</v>
      </c>
      <c r="S146" s="10">
        <f t="shared" si="25"/>
        <v>0.96212121212121215</v>
      </c>
      <c r="T146">
        <f t="shared" si="26"/>
        <v>3064891</v>
      </c>
      <c r="Z146" t="str">
        <f t="shared" si="27"/>
        <v>No</v>
      </c>
    </row>
    <row r="147" spans="1:26" ht="13.5" customHeight="1" x14ac:dyDescent="0.3">
      <c r="A147" s="2" t="s">
        <v>221</v>
      </c>
      <c r="B147" s="3" t="s">
        <v>129</v>
      </c>
      <c r="C147" s="3" t="s">
        <v>130</v>
      </c>
      <c r="D147" s="3" t="s">
        <v>16</v>
      </c>
      <c r="E147" s="4">
        <v>16038</v>
      </c>
      <c r="F147" s="2">
        <v>398</v>
      </c>
      <c r="G147" s="2">
        <v>61</v>
      </c>
      <c r="H147" s="5">
        <v>45357</v>
      </c>
      <c r="I147" s="5">
        <v>45760</v>
      </c>
      <c r="J147" s="2">
        <v>55</v>
      </c>
      <c r="K147" s="3" t="s">
        <v>91</v>
      </c>
      <c r="L147" s="2">
        <v>49</v>
      </c>
      <c r="M147" s="2" t="s">
        <v>18</v>
      </c>
      <c r="N147" t="str">
        <f t="shared" si="20"/>
        <v>Recorded</v>
      </c>
      <c r="O147" t="str">
        <f t="shared" si="21"/>
        <v>Recorded</v>
      </c>
      <c r="P147" t="str">
        <f t="shared" ca="1" si="22"/>
        <v>Expired</v>
      </c>
      <c r="Q147" s="9">
        <f t="shared" ca="1" si="23"/>
        <v>-452</v>
      </c>
      <c r="R147" t="str">
        <f t="shared" ca="1" si="24"/>
        <v>Expired</v>
      </c>
      <c r="S147" s="10">
        <f t="shared" si="25"/>
        <v>7.2363636363636363</v>
      </c>
      <c r="T147">
        <f t="shared" si="26"/>
        <v>6383124</v>
      </c>
      <c r="Z147" t="str">
        <f t="shared" si="27"/>
        <v>No</v>
      </c>
    </row>
    <row r="148" spans="1:26" ht="13.5" customHeight="1" x14ac:dyDescent="0.3">
      <c r="A148" s="2" t="s">
        <v>222</v>
      </c>
      <c r="B148" s="3" t="s">
        <v>31</v>
      </c>
      <c r="C148" s="3" t="s">
        <v>27</v>
      </c>
      <c r="D148" s="3" t="s">
        <v>50</v>
      </c>
      <c r="E148" s="4">
        <v>22081</v>
      </c>
      <c r="F148" s="2">
        <v>346</v>
      </c>
      <c r="G148" s="2">
        <v>24</v>
      </c>
      <c r="H148" s="5">
        <v>45565</v>
      </c>
      <c r="I148" s="5">
        <v>46351</v>
      </c>
      <c r="J148" s="2">
        <v>109</v>
      </c>
      <c r="K148" s="3" t="s">
        <v>23</v>
      </c>
      <c r="L148" s="2">
        <v>43</v>
      </c>
      <c r="M148" s="2" t="s">
        <v>18</v>
      </c>
      <c r="N148" t="str">
        <f t="shared" si="20"/>
        <v>Recorded</v>
      </c>
      <c r="O148" t="str">
        <f t="shared" si="21"/>
        <v>Recorded</v>
      </c>
      <c r="P148" t="str">
        <f t="shared" ca="1" si="22"/>
        <v>Active</v>
      </c>
      <c r="Q148" s="9">
        <f t="shared" ca="1" si="23"/>
        <v>139</v>
      </c>
      <c r="R148" t="str">
        <f t="shared" ca="1" si="24"/>
        <v>OK</v>
      </c>
      <c r="S148" s="10">
        <f t="shared" si="25"/>
        <v>3.1743119266055047</v>
      </c>
      <c r="T148">
        <f t="shared" si="26"/>
        <v>7640026</v>
      </c>
      <c r="Z148" t="str">
        <f t="shared" si="27"/>
        <v>No</v>
      </c>
    </row>
    <row r="149" spans="1:26" ht="13.5" customHeight="1" x14ac:dyDescent="0.3">
      <c r="A149" s="2" t="s">
        <v>223</v>
      </c>
      <c r="B149" s="3" t="s">
        <v>147</v>
      </c>
      <c r="C149" s="3" t="s">
        <v>103</v>
      </c>
      <c r="D149" s="3" t="s">
        <v>16</v>
      </c>
      <c r="E149" s="4">
        <v>8809</v>
      </c>
      <c r="F149" s="2">
        <v>443</v>
      </c>
      <c r="G149" s="2">
        <v>49</v>
      </c>
      <c r="H149" s="5">
        <v>45336</v>
      </c>
      <c r="I149" s="5">
        <v>46189</v>
      </c>
      <c r="J149" s="2">
        <v>160</v>
      </c>
      <c r="K149" s="3" t="s">
        <v>17</v>
      </c>
      <c r="L149" s="2">
        <v>160</v>
      </c>
      <c r="M149" s="2" t="s">
        <v>18</v>
      </c>
      <c r="N149" t="str">
        <f t="shared" si="20"/>
        <v>Recorded</v>
      </c>
      <c r="O149" t="str">
        <f t="shared" si="21"/>
        <v>Recorded</v>
      </c>
      <c r="P149" t="str">
        <f t="shared" ca="1" si="22"/>
        <v>Expired</v>
      </c>
      <c r="Q149" s="9">
        <f t="shared" ca="1" si="23"/>
        <v>-23</v>
      </c>
      <c r="R149" t="str">
        <f t="shared" ca="1" si="24"/>
        <v>Expired</v>
      </c>
      <c r="S149" s="10">
        <f t="shared" si="25"/>
        <v>2.7687499999999998</v>
      </c>
      <c r="T149">
        <f t="shared" si="26"/>
        <v>3902387</v>
      </c>
      <c r="Z149" t="str">
        <f t="shared" si="27"/>
        <v>No</v>
      </c>
    </row>
    <row r="150" spans="1:26" ht="13.5" customHeight="1" x14ac:dyDescent="0.3">
      <c r="A150" s="2" t="s">
        <v>224</v>
      </c>
      <c r="B150" s="3" t="s">
        <v>93</v>
      </c>
      <c r="C150" s="3" t="s">
        <v>27</v>
      </c>
      <c r="D150" s="3" t="s">
        <v>43</v>
      </c>
      <c r="E150" s="4">
        <v>40688</v>
      </c>
      <c r="F150" s="2">
        <v>173</v>
      </c>
      <c r="G150" s="2">
        <v>55</v>
      </c>
      <c r="H150" s="5">
        <v>45468</v>
      </c>
      <c r="I150" s="5">
        <v>45397</v>
      </c>
      <c r="J150" s="2">
        <v>114</v>
      </c>
      <c r="K150" s="3" t="s">
        <v>28</v>
      </c>
      <c r="L150" s="2">
        <v>109</v>
      </c>
      <c r="M150" s="2" t="s">
        <v>29</v>
      </c>
      <c r="N150" t="str">
        <f t="shared" si="20"/>
        <v>Recorded</v>
      </c>
      <c r="O150" t="str">
        <f t="shared" si="21"/>
        <v>Recorded</v>
      </c>
      <c r="P150" t="str">
        <f t="shared" ca="1" si="22"/>
        <v>Expired</v>
      </c>
      <c r="Q150" s="9">
        <f t="shared" ca="1" si="23"/>
        <v>-815</v>
      </c>
      <c r="R150" t="str">
        <f t="shared" ca="1" si="24"/>
        <v>Expired</v>
      </c>
      <c r="S150" s="10">
        <f t="shared" si="25"/>
        <v>1.5175438596491229</v>
      </c>
      <c r="T150">
        <f t="shared" si="26"/>
        <v>7039024</v>
      </c>
      <c r="Z150" t="str">
        <f t="shared" si="27"/>
        <v>No</v>
      </c>
    </row>
    <row r="151" spans="1:26" ht="13.5" customHeight="1" x14ac:dyDescent="0.3">
      <c r="A151" s="2" t="s">
        <v>225</v>
      </c>
      <c r="B151" s="3" t="s">
        <v>79</v>
      </c>
      <c r="C151" s="3" t="s">
        <v>15</v>
      </c>
      <c r="D151" s="3" t="s">
        <v>43</v>
      </c>
      <c r="E151" s="4">
        <v>23467</v>
      </c>
      <c r="F151" s="2">
        <v>121</v>
      </c>
      <c r="G151" s="2">
        <v>79</v>
      </c>
      <c r="H151" s="5">
        <v>45439</v>
      </c>
      <c r="I151" s="5">
        <v>45994</v>
      </c>
      <c r="J151" s="2">
        <v>86</v>
      </c>
      <c r="K151" s="3" t="s">
        <v>91</v>
      </c>
      <c r="L151" s="2">
        <v>14</v>
      </c>
      <c r="M151" s="2" t="s">
        <v>18</v>
      </c>
      <c r="N151" t="str">
        <f t="shared" si="20"/>
        <v>Recorded</v>
      </c>
      <c r="O151" t="str">
        <f t="shared" si="21"/>
        <v>Recorded</v>
      </c>
      <c r="P151" t="str">
        <f t="shared" ca="1" si="22"/>
        <v>Expired</v>
      </c>
      <c r="Q151" s="9">
        <f t="shared" ca="1" si="23"/>
        <v>-218</v>
      </c>
      <c r="R151" t="str">
        <f t="shared" ca="1" si="24"/>
        <v>Expired</v>
      </c>
      <c r="S151" s="10">
        <f t="shared" si="25"/>
        <v>1.4069767441860466</v>
      </c>
      <c r="T151">
        <f t="shared" si="26"/>
        <v>2839507</v>
      </c>
      <c r="Z151" t="str">
        <f t="shared" si="27"/>
        <v>No</v>
      </c>
    </row>
    <row r="152" spans="1:26" ht="13.5" customHeight="1" x14ac:dyDescent="0.3"/>
    <row r="153" spans="1:26" ht="13.5" customHeight="1" x14ac:dyDescent="0.3"/>
    <row r="154" spans="1:26" ht="13.5" customHeight="1" x14ac:dyDescent="0.3"/>
    <row r="155" spans="1:26" x14ac:dyDescent="0.3">
      <c r="A155" s="20"/>
      <c r="B155" s="20"/>
      <c r="C155" s="20"/>
      <c r="D155" s="20"/>
      <c r="E155" s="20"/>
      <c r="F155" s="20"/>
      <c r="G155" s="20"/>
      <c r="H155" s="20"/>
    </row>
  </sheetData>
  <mergeCells count="1">
    <mergeCell ref="A155:H155"/>
  </mergeCells>
  <conditionalFormatting sqref="F1:F1048576">
    <cfRule type="expression" dxfId="1" priority="2">
      <formula>AND(F2&lt;G2,F2&lt;&gt;"")</formula>
    </cfRule>
  </conditionalFormatting>
  <conditionalFormatting sqref="I1:I1048576">
    <cfRule type="expression" dxfId="0" priority="1">
      <formula>AND(I2&gt;=TODAY(),I2&lt;=TODAY()+90)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showGridLines="0" topLeftCell="A18" zoomScaleNormal="100" workbookViewId="0">
      <selection sqref="A1:B1"/>
    </sheetView>
  </sheetViews>
  <sheetFormatPr defaultColWidth="8.6640625" defaultRowHeight="14.4" x14ac:dyDescent="0.3"/>
  <cols>
    <col min="1" max="1" width="4" customWidth="1"/>
    <col min="2" max="2" width="95" customWidth="1"/>
  </cols>
  <sheetData>
    <row r="1" spans="1:2" ht="31.5" customHeight="1" x14ac:dyDescent="0.3">
      <c r="A1" s="21" t="s">
        <v>226</v>
      </c>
      <c r="B1" s="21"/>
    </row>
    <row r="2" spans="1:2" ht="21.75" customHeight="1" x14ac:dyDescent="0.3">
      <c r="A2" s="22" t="s">
        <v>227</v>
      </c>
      <c r="B2" s="22"/>
    </row>
    <row r="4" spans="1:2" ht="19.5" customHeight="1" x14ac:dyDescent="0.3">
      <c r="B4" s="6" t="s">
        <v>228</v>
      </c>
    </row>
    <row r="5" spans="1:2" ht="19.5" customHeight="1" x14ac:dyDescent="0.3">
      <c r="B5" s="7" t="s">
        <v>229</v>
      </c>
    </row>
    <row r="6" spans="1:2" ht="19.5" customHeight="1" x14ac:dyDescent="0.3">
      <c r="B6" s="7" t="s">
        <v>230</v>
      </c>
    </row>
    <row r="7" spans="1:2" ht="19.5" customHeight="1" x14ac:dyDescent="0.3">
      <c r="B7" s="7" t="s">
        <v>231</v>
      </c>
    </row>
    <row r="8" spans="1:2" ht="19.5" customHeight="1" x14ac:dyDescent="0.3">
      <c r="B8" s="7" t="s">
        <v>232</v>
      </c>
    </row>
    <row r="9" spans="1:2" ht="19.5" customHeight="1" x14ac:dyDescent="0.3">
      <c r="B9" s="7" t="s">
        <v>233</v>
      </c>
    </row>
    <row r="10" spans="1:2" ht="7.5" customHeight="1" x14ac:dyDescent="0.3">
      <c r="B10" s="7"/>
    </row>
    <row r="11" spans="1:2" ht="19.5" customHeight="1" x14ac:dyDescent="0.3">
      <c r="B11" s="6" t="s">
        <v>234</v>
      </c>
    </row>
    <row r="12" spans="1:2" ht="19.5" customHeight="1" x14ac:dyDescent="0.3">
      <c r="B12" s="7" t="s">
        <v>235</v>
      </c>
    </row>
    <row r="13" spans="1:2" ht="19.5" customHeight="1" x14ac:dyDescent="0.3">
      <c r="B13" s="7" t="s">
        <v>236</v>
      </c>
    </row>
    <row r="14" spans="1:2" ht="19.5" customHeight="1" x14ac:dyDescent="0.3">
      <c r="B14" s="7" t="s">
        <v>237</v>
      </c>
    </row>
    <row r="15" spans="1:2" ht="19.5" customHeight="1" x14ac:dyDescent="0.3">
      <c r="B15" s="7" t="s">
        <v>238</v>
      </c>
    </row>
    <row r="16" spans="1:2" ht="19.5" customHeight="1" x14ac:dyDescent="0.3">
      <c r="B16" s="7" t="s">
        <v>239</v>
      </c>
    </row>
    <row r="17" spans="2:2" ht="19.5" customHeight="1" x14ac:dyDescent="0.3">
      <c r="B17" s="7" t="s">
        <v>240</v>
      </c>
    </row>
    <row r="18" spans="2:2" ht="19.5" customHeight="1" x14ac:dyDescent="0.3">
      <c r="B18" s="7" t="s">
        <v>241</v>
      </c>
    </row>
    <row r="19" spans="2:2" ht="19.5" customHeight="1" x14ac:dyDescent="0.3">
      <c r="B19" s="7" t="s">
        <v>242</v>
      </c>
    </row>
    <row r="20" spans="2:2" ht="7.5" customHeight="1" x14ac:dyDescent="0.3">
      <c r="B20" s="7"/>
    </row>
    <row r="21" spans="2:2" ht="19.5" customHeight="1" x14ac:dyDescent="0.3">
      <c r="B21" s="6" t="s">
        <v>243</v>
      </c>
    </row>
    <row r="22" spans="2:2" ht="19.5" customHeight="1" x14ac:dyDescent="0.3">
      <c r="B22" s="7" t="s">
        <v>244</v>
      </c>
    </row>
    <row r="23" spans="2:2" ht="19.5" customHeight="1" x14ac:dyDescent="0.3">
      <c r="B23" s="7" t="s">
        <v>245</v>
      </c>
    </row>
    <row r="24" spans="2:2" ht="19.5" customHeight="1" x14ac:dyDescent="0.3">
      <c r="B24" s="7" t="s">
        <v>246</v>
      </c>
    </row>
    <row r="25" spans="2:2" ht="19.5" customHeight="1" x14ac:dyDescent="0.3">
      <c r="B25" s="7" t="s">
        <v>247</v>
      </c>
    </row>
    <row r="26" spans="2:2" ht="7.5" customHeight="1" x14ac:dyDescent="0.3">
      <c r="B26" s="7"/>
    </row>
    <row r="27" spans="2:2" ht="19.5" customHeight="1" x14ac:dyDescent="0.3">
      <c r="B27" s="6" t="s">
        <v>248</v>
      </c>
    </row>
    <row r="28" spans="2:2" ht="19.5" customHeight="1" x14ac:dyDescent="0.3">
      <c r="B28" s="7" t="s">
        <v>249</v>
      </c>
    </row>
    <row r="29" spans="2:2" ht="19.5" customHeight="1" x14ac:dyDescent="0.3">
      <c r="B29" s="7" t="s">
        <v>250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55F6-B1E1-4301-A371-9013E0C8AFD1}">
  <dimension ref="A3:Q11"/>
  <sheetViews>
    <sheetView topLeftCell="D1" zoomScale="102" zoomScaleNormal="102" workbookViewId="0">
      <selection activeCell="A10" sqref="A10:XFD10"/>
    </sheetView>
  </sheetViews>
  <sheetFormatPr defaultRowHeight="14.4" x14ac:dyDescent="0.3"/>
  <cols>
    <col min="1" max="1" width="21.109375" bestFit="1" customWidth="1"/>
    <col min="2" max="2" width="15.5546875" bestFit="1" customWidth="1"/>
    <col min="3" max="3" width="10.33203125" customWidth="1"/>
    <col min="4" max="4" width="11.44140625" customWidth="1"/>
    <col min="5" max="5" width="11.109375" bestFit="1" customWidth="1"/>
    <col min="6" max="6" width="9.77734375" bestFit="1" customWidth="1"/>
    <col min="7" max="7" width="12.6640625" bestFit="1" customWidth="1"/>
    <col min="8" max="8" width="15.44140625" bestFit="1" customWidth="1"/>
    <col min="9" max="9" width="16.6640625" bestFit="1" customWidth="1"/>
    <col min="10" max="10" width="13.5546875" customWidth="1"/>
    <col min="11" max="11" width="11.109375" bestFit="1" customWidth="1"/>
    <col min="12" max="12" width="12.77734375" bestFit="1" customWidth="1"/>
    <col min="13" max="13" width="9.88671875" bestFit="1" customWidth="1"/>
    <col min="14" max="14" width="10.77734375" bestFit="1" customWidth="1"/>
    <col min="15" max="15" width="10.5546875" bestFit="1" customWidth="1"/>
    <col min="16" max="16" width="11.21875" bestFit="1" customWidth="1"/>
    <col min="17" max="17" width="10.77734375" bestFit="1" customWidth="1"/>
  </cols>
  <sheetData>
    <row r="3" spans="1:17" x14ac:dyDescent="0.3">
      <c r="A3" s="14" t="s">
        <v>267</v>
      </c>
      <c r="B3" s="14" t="s">
        <v>266</v>
      </c>
    </row>
    <row r="4" spans="1:17" x14ac:dyDescent="0.3">
      <c r="A4" s="14" t="s">
        <v>263</v>
      </c>
      <c r="B4" t="s">
        <v>103</v>
      </c>
      <c r="C4" t="s">
        <v>126</v>
      </c>
      <c r="D4" t="s">
        <v>27</v>
      </c>
      <c r="E4" t="s">
        <v>49</v>
      </c>
      <c r="F4" t="s">
        <v>82</v>
      </c>
      <c r="G4" t="s">
        <v>130</v>
      </c>
      <c r="H4" t="s">
        <v>40</v>
      </c>
      <c r="I4" t="s">
        <v>62</v>
      </c>
      <c r="J4" t="s">
        <v>35</v>
      </c>
      <c r="K4" t="s">
        <v>46</v>
      </c>
      <c r="L4" t="s">
        <v>114</v>
      </c>
      <c r="M4" t="s">
        <v>66</v>
      </c>
      <c r="N4" t="s">
        <v>21</v>
      </c>
      <c r="O4" t="s">
        <v>76</v>
      </c>
      <c r="P4" t="s">
        <v>15</v>
      </c>
      <c r="Q4" t="s">
        <v>264</v>
      </c>
    </row>
    <row r="5" spans="1:17" x14ac:dyDescent="0.3">
      <c r="A5" s="15" t="s">
        <v>91</v>
      </c>
      <c r="B5">
        <v>12393231</v>
      </c>
      <c r="C5">
        <v>646368</v>
      </c>
      <c r="D5">
        <v>27472690</v>
      </c>
      <c r="E5">
        <v>18947499</v>
      </c>
      <c r="F5">
        <v>346082</v>
      </c>
      <c r="G5">
        <v>6383124</v>
      </c>
      <c r="H5">
        <v>24683994</v>
      </c>
      <c r="I5">
        <v>16571756</v>
      </c>
      <c r="J5">
        <v>4405331</v>
      </c>
      <c r="K5">
        <v>2580954</v>
      </c>
      <c r="L5">
        <v>378049</v>
      </c>
      <c r="M5">
        <v>757404</v>
      </c>
      <c r="N5">
        <v>2543685</v>
      </c>
      <c r="O5">
        <v>6282540</v>
      </c>
      <c r="P5">
        <v>26352488</v>
      </c>
      <c r="Q5">
        <v>150745195</v>
      </c>
    </row>
    <row r="6" spans="1:17" x14ac:dyDescent="0.3">
      <c r="A6" s="15" t="s">
        <v>36</v>
      </c>
      <c r="B6">
        <v>14251932</v>
      </c>
      <c r="C6">
        <v>4054974</v>
      </c>
      <c r="D6">
        <v>38492349</v>
      </c>
      <c r="E6">
        <v>908616</v>
      </c>
      <c r="F6">
        <v>12220698</v>
      </c>
      <c r="G6">
        <v>0</v>
      </c>
      <c r="H6">
        <v>34414484</v>
      </c>
      <c r="I6">
        <v>4824844</v>
      </c>
      <c r="J6">
        <v>5818250</v>
      </c>
      <c r="K6">
        <v>8203716</v>
      </c>
      <c r="L6">
        <v>1922096</v>
      </c>
      <c r="M6">
        <v>2595159</v>
      </c>
      <c r="N6">
        <v>0</v>
      </c>
      <c r="O6">
        <v>1074360</v>
      </c>
      <c r="P6">
        <v>9110466</v>
      </c>
      <c r="Q6">
        <v>137891944</v>
      </c>
    </row>
    <row r="7" spans="1:17" x14ac:dyDescent="0.3">
      <c r="A7" s="15" t="s">
        <v>17</v>
      </c>
      <c r="B7">
        <v>7606451</v>
      </c>
      <c r="C7">
        <v>7189318</v>
      </c>
      <c r="D7">
        <v>37556022</v>
      </c>
      <c r="E7">
        <v>11419125</v>
      </c>
      <c r="F7">
        <v>3767848</v>
      </c>
      <c r="G7">
        <v>2796041</v>
      </c>
      <c r="H7">
        <v>24497072</v>
      </c>
      <c r="I7">
        <v>23743956</v>
      </c>
      <c r="J7">
        <v>7034180</v>
      </c>
      <c r="K7">
        <v>5868709</v>
      </c>
      <c r="L7">
        <v>11581984</v>
      </c>
      <c r="M7">
        <v>913767</v>
      </c>
      <c r="N7">
        <v>0</v>
      </c>
      <c r="O7">
        <v>6408480</v>
      </c>
      <c r="P7">
        <v>34027058</v>
      </c>
      <c r="Q7">
        <v>184410011</v>
      </c>
    </row>
    <row r="8" spans="1:17" x14ac:dyDescent="0.3">
      <c r="A8" s="15" t="s">
        <v>23</v>
      </c>
      <c r="B8">
        <v>4599279</v>
      </c>
      <c r="C8">
        <v>15018670</v>
      </c>
      <c r="D8">
        <v>42403118</v>
      </c>
      <c r="E8">
        <v>2987018</v>
      </c>
      <c r="F8">
        <v>2272433</v>
      </c>
      <c r="G8">
        <v>4201200</v>
      </c>
      <c r="H8">
        <v>16386463</v>
      </c>
      <c r="I8">
        <v>13103127</v>
      </c>
      <c r="J8">
        <v>7158764</v>
      </c>
      <c r="K8">
        <v>14366670</v>
      </c>
      <c r="L8">
        <v>2314098</v>
      </c>
      <c r="M8">
        <v>407798</v>
      </c>
      <c r="N8">
        <v>7969950</v>
      </c>
      <c r="O8">
        <v>4068372</v>
      </c>
      <c r="P8">
        <v>23493405</v>
      </c>
      <c r="Q8">
        <v>160750365</v>
      </c>
    </row>
    <row r="9" spans="1:17" x14ac:dyDescent="0.3">
      <c r="A9" s="15" t="s">
        <v>28</v>
      </c>
      <c r="B9">
        <v>18459603</v>
      </c>
      <c r="C9">
        <v>3107147</v>
      </c>
      <c r="D9">
        <v>40662507</v>
      </c>
      <c r="E9">
        <v>2920684</v>
      </c>
      <c r="F9">
        <v>1590218</v>
      </c>
      <c r="G9">
        <v>3051398</v>
      </c>
      <c r="H9">
        <v>12230787</v>
      </c>
      <c r="I9">
        <v>11223423</v>
      </c>
      <c r="J9">
        <v>5866282</v>
      </c>
      <c r="K9">
        <v>7474068</v>
      </c>
      <c r="L9">
        <v>7658266</v>
      </c>
      <c r="M9">
        <v>5367474</v>
      </c>
      <c r="N9">
        <v>9656024</v>
      </c>
      <c r="O9">
        <v>14504266</v>
      </c>
      <c r="P9">
        <v>31719687</v>
      </c>
      <c r="Q9">
        <v>175491834</v>
      </c>
    </row>
    <row r="10" spans="1:17" x14ac:dyDescent="0.3">
      <c r="A10" s="15" t="s">
        <v>264</v>
      </c>
      <c r="B10">
        <v>57310496</v>
      </c>
      <c r="C10">
        <v>30016477</v>
      </c>
      <c r="D10">
        <v>186586686</v>
      </c>
      <c r="E10">
        <v>37182942</v>
      </c>
      <c r="F10">
        <v>20197279</v>
      </c>
      <c r="G10">
        <v>16431763</v>
      </c>
      <c r="H10">
        <v>112212800</v>
      </c>
      <c r="I10">
        <v>69467106</v>
      </c>
      <c r="J10">
        <v>30282807</v>
      </c>
      <c r="K10">
        <v>38494117</v>
      </c>
      <c r="L10">
        <v>23854493</v>
      </c>
      <c r="M10">
        <v>10041602</v>
      </c>
      <c r="N10">
        <v>20169659</v>
      </c>
      <c r="O10">
        <v>32338018</v>
      </c>
      <c r="P10">
        <v>124703104</v>
      </c>
      <c r="Q10">
        <v>809289349</v>
      </c>
    </row>
    <row r="11" spans="1:17" x14ac:dyDescent="0.3">
      <c r="G11" t="s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1C9A-A84E-4C00-A6C8-008746EE51BA}">
  <dimension ref="B2:F17"/>
  <sheetViews>
    <sheetView zoomScale="70" zoomScaleNormal="70" workbookViewId="0">
      <selection activeCell="V23" sqref="V23"/>
    </sheetView>
  </sheetViews>
  <sheetFormatPr defaultRowHeight="18" x14ac:dyDescent="0.35"/>
  <cols>
    <col min="2" max="2" width="28.21875" style="17" customWidth="1"/>
    <col min="3" max="3" width="17.6640625" style="17" customWidth="1"/>
    <col min="4" max="4" width="8.88671875" style="16"/>
    <col min="5" max="5" width="17.6640625" style="17" customWidth="1"/>
    <col min="6" max="6" width="31.77734375" style="17" customWidth="1"/>
  </cols>
  <sheetData>
    <row r="2" spans="2:6" s="18" customFormat="1" ht="23.4" x14ac:dyDescent="0.45">
      <c r="B2" s="19" t="s">
        <v>265</v>
      </c>
      <c r="C2" s="19" t="s">
        <v>258</v>
      </c>
      <c r="D2" s="19"/>
      <c r="E2" s="19" t="s">
        <v>10</v>
      </c>
      <c r="F2" s="19" t="s">
        <v>260</v>
      </c>
    </row>
    <row r="3" spans="2:6" x14ac:dyDescent="0.35">
      <c r="B3" s="17" t="s">
        <v>103</v>
      </c>
      <c r="C3" s="17">
        <v>10</v>
      </c>
      <c r="E3" s="17" t="s">
        <v>36</v>
      </c>
      <c r="F3" s="17">
        <v>137891944</v>
      </c>
    </row>
    <row r="4" spans="2:6" x14ac:dyDescent="0.35">
      <c r="B4" s="17" t="s">
        <v>126</v>
      </c>
      <c r="C4" s="17">
        <v>5</v>
      </c>
      <c r="E4" s="17" t="s">
        <v>17</v>
      </c>
      <c r="F4" s="17">
        <v>184410011</v>
      </c>
    </row>
    <row r="5" spans="2:6" x14ac:dyDescent="0.35">
      <c r="B5" s="17" t="s">
        <v>27</v>
      </c>
      <c r="C5" s="17">
        <v>35</v>
      </c>
      <c r="E5" s="17" t="s">
        <v>28</v>
      </c>
      <c r="F5" s="17">
        <v>175491834</v>
      </c>
    </row>
    <row r="6" spans="2:6" x14ac:dyDescent="0.35">
      <c r="B6" s="17" t="s">
        <v>40</v>
      </c>
      <c r="C6" s="17">
        <v>20</v>
      </c>
      <c r="E6" s="17" t="s">
        <v>23</v>
      </c>
      <c r="F6" s="17">
        <v>160750365</v>
      </c>
    </row>
    <row r="7" spans="2:6" x14ac:dyDescent="0.35">
      <c r="B7" s="17" t="s">
        <v>15</v>
      </c>
      <c r="C7" s="17">
        <v>20</v>
      </c>
      <c r="E7" s="17" t="s">
        <v>91</v>
      </c>
      <c r="F7" s="17">
        <v>150745195</v>
      </c>
    </row>
    <row r="8" spans="2:6" x14ac:dyDescent="0.35">
      <c r="B8" s="17" t="s">
        <v>35</v>
      </c>
      <c r="C8" s="17">
        <v>5</v>
      </c>
    </row>
    <row r="9" spans="2:6" x14ac:dyDescent="0.35">
      <c r="B9" s="17" t="s">
        <v>76</v>
      </c>
      <c r="C9" s="17">
        <v>5</v>
      </c>
    </row>
    <row r="10" spans="2:6" x14ac:dyDescent="0.35">
      <c r="B10" s="17" t="s">
        <v>130</v>
      </c>
      <c r="C10" s="17">
        <v>5</v>
      </c>
    </row>
    <row r="11" spans="2:6" x14ac:dyDescent="0.35">
      <c r="B11" s="17" t="s">
        <v>46</v>
      </c>
      <c r="C11" s="17">
        <v>5</v>
      </c>
    </row>
    <row r="12" spans="2:6" x14ac:dyDescent="0.35">
      <c r="B12" s="17" t="s">
        <v>49</v>
      </c>
      <c r="C12" s="17">
        <v>10</v>
      </c>
    </row>
    <row r="13" spans="2:6" x14ac:dyDescent="0.35">
      <c r="B13" s="17" t="s">
        <v>66</v>
      </c>
      <c r="C13" s="17">
        <v>5</v>
      </c>
    </row>
    <row r="14" spans="2:6" x14ac:dyDescent="0.35">
      <c r="B14" s="17" t="s">
        <v>21</v>
      </c>
      <c r="C14" s="17">
        <v>5</v>
      </c>
    </row>
    <row r="15" spans="2:6" x14ac:dyDescent="0.35">
      <c r="B15" s="17" t="s">
        <v>114</v>
      </c>
      <c r="C15" s="17">
        <v>5</v>
      </c>
    </row>
    <row r="16" spans="2:6" x14ac:dyDescent="0.35">
      <c r="B16" s="17" t="s">
        <v>62</v>
      </c>
      <c r="C16" s="17">
        <v>10</v>
      </c>
    </row>
    <row r="17" spans="2:3" x14ac:dyDescent="0.35">
      <c r="B17" s="17" t="s">
        <v>82</v>
      </c>
      <c r="C17" s="17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PHARMACY RAW DATA</vt:lpstr>
      <vt:lpstr>CLEANED PHARMACY data</vt:lpstr>
      <vt:lpstr>BUSINESS QUESTIONS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ogoma okuma</cp:lastModifiedBy>
  <cp:revision>0</cp:revision>
  <dcterms:created xsi:type="dcterms:W3CDTF">2026-07-01T09:02:58Z</dcterms:created>
  <dcterms:modified xsi:type="dcterms:W3CDTF">2026-07-09T04:52:41Z</dcterms:modified>
  <dc:language>en-US</dc:language>
</cp:coreProperties>
</file>